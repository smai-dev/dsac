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queryTables/queryTable5.xml" ContentType="application/vnd.openxmlformats-officedocument.spreadsheetml.queryTable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eraldine/Documents/workBackup20170522/5 Taught Masters/TU253/2 Data preprocessing/Unit 5 - series data/"/>
    </mc:Choice>
  </mc:AlternateContent>
  <xr:revisionPtr revIDLastSave="0" documentId="13_ncr:1_{DDF6EECB-7B0C-8F43-8664-6FCB5B1D1623}" xr6:coauthVersionLast="46" xr6:coauthVersionMax="46" xr10:uidLastSave="{00000000-0000-0000-0000-000000000000}"/>
  <bookViews>
    <workbookView xWindow="31860" yWindow="1320" windowWidth="28800" windowHeight="19260" tabRatio="500" activeTab="4" xr2:uid="{00000000-000D-0000-FFFF-FFFF00000000}"/>
  </bookViews>
  <sheets>
    <sheet name="simple moving average" sheetId="2" r:id="rId1"/>
    <sheet name="Weighted moving average" sheetId="6" r:id="rId2"/>
    <sheet name="exponential moving average" sheetId="3" r:id="rId3"/>
    <sheet name="differencing" sheetId="4" r:id="rId4"/>
    <sheet name="Holt Winters" sheetId="5" r:id="rId5"/>
  </sheets>
  <definedNames>
    <definedName name="ArmedRobberyOneAtr" localSheetId="3">differencing!$A$1:$B$119</definedName>
    <definedName name="ArmedRobberyOneAtr" localSheetId="2">'exponential moving average'!$A$1:$B$119</definedName>
    <definedName name="ArmedRobberyOneAtr" localSheetId="4">'Holt Winters'!$A$1:$B$119</definedName>
    <definedName name="ArmedRobberyOneAtr" localSheetId="0">'simple moving average'!$A$1:$B$119</definedName>
    <definedName name="ArmedRobberyOneAtr" localSheetId="1">'Weighted moving average'!$A$1:$B$119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5" l="1"/>
  <c r="E3" i="5"/>
  <c r="E2" i="5"/>
  <c r="G2" i="5" s="1"/>
  <c r="J15" i="5"/>
  <c r="F2" i="5"/>
  <c r="D2" i="5"/>
  <c r="J10" i="5"/>
  <c r="O3" i="6"/>
  <c r="J7" i="6"/>
  <c r="J5" i="6"/>
  <c r="I3" i="3" l="1"/>
  <c r="C27" i="6"/>
  <c r="D25" i="6"/>
  <c r="D24" i="6"/>
  <c r="D23" i="6"/>
  <c r="D22" i="6"/>
  <c r="D21" i="6"/>
  <c r="D20" i="6"/>
  <c r="D19" i="6"/>
  <c r="D18" i="6"/>
  <c r="D17" i="6"/>
  <c r="E21" i="6" s="1"/>
  <c r="I4" i="6"/>
  <c r="G4" i="6"/>
  <c r="F4" i="6"/>
  <c r="K4" i="6"/>
  <c r="M4" i="6"/>
  <c r="N4" i="6"/>
  <c r="H4" i="6"/>
  <c r="L4" i="6"/>
  <c r="J4" i="6"/>
  <c r="J3" i="5"/>
  <c r="C2" i="5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4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3" i="4"/>
  <c r="C2" i="3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6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3" i="2"/>
  <c r="G3" i="5" l="1"/>
  <c r="F3" i="5"/>
  <c r="D4" i="5" s="1"/>
  <c r="F4" i="5" s="1"/>
  <c r="C3" i="5"/>
  <c r="C3" i="3"/>
  <c r="C4" i="3" s="1"/>
  <c r="E4" i="5" l="1"/>
  <c r="D5" i="5"/>
  <c r="C4" i="5"/>
  <c r="C5" i="5" s="1"/>
  <c r="C5" i="3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6" i="5" l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G4" i="5"/>
  <c r="I6" i="5"/>
  <c r="F5" i="5"/>
  <c r="D6" i="5" s="1"/>
  <c r="E5" i="5" l="1"/>
  <c r="G5" i="5" s="1"/>
  <c r="E6" i="5" s="1"/>
  <c r="G6" i="5" s="1"/>
  <c r="I5" i="5"/>
  <c r="F6" i="5"/>
  <c r="D7" i="5" s="1"/>
  <c r="E7" i="5" l="1"/>
  <c r="G7" i="5" s="1"/>
  <c r="F7" i="5"/>
  <c r="D8" i="5" s="1"/>
  <c r="E8" i="5" l="1"/>
  <c r="G8" i="5" s="1"/>
  <c r="F8" i="5" l="1"/>
  <c r="D9" i="5" s="1"/>
  <c r="E9" i="5" l="1"/>
  <c r="G9" i="5" s="1"/>
  <c r="F9" i="5"/>
  <c r="D10" i="5" s="1"/>
  <c r="E10" i="5" l="1"/>
  <c r="G10" i="5" s="1"/>
  <c r="F10" i="5"/>
  <c r="D11" i="5" s="1"/>
  <c r="E11" i="5" l="1"/>
  <c r="G11" i="5" s="1"/>
  <c r="F11" i="5"/>
  <c r="D12" i="5" s="1"/>
  <c r="E12" i="5" l="1"/>
  <c r="G12" i="5" s="1"/>
  <c r="F12" i="5"/>
  <c r="D13" i="5" s="1"/>
  <c r="E13" i="5" l="1"/>
  <c r="G13" i="5" s="1"/>
  <c r="F13" i="5"/>
  <c r="D14" i="5" s="1"/>
  <c r="E14" i="5" l="1"/>
  <c r="G14" i="5" s="1"/>
  <c r="F14" i="5"/>
  <c r="D15" i="5" s="1"/>
  <c r="E15" i="5" l="1"/>
  <c r="G15" i="5" s="1"/>
  <c r="F15" i="5"/>
  <c r="D16" i="5" s="1"/>
  <c r="E16" i="5" l="1"/>
  <c r="G16" i="5" s="1"/>
  <c r="F16" i="5"/>
  <c r="D17" i="5" s="1"/>
  <c r="E17" i="5" l="1"/>
  <c r="G17" i="5" s="1"/>
  <c r="F17" i="5"/>
  <c r="D18" i="5" s="1"/>
  <c r="E18" i="5" l="1"/>
  <c r="G18" i="5" s="1"/>
  <c r="F18" i="5"/>
  <c r="D19" i="5" s="1"/>
  <c r="E19" i="5" l="1"/>
  <c r="G19" i="5" s="1"/>
  <c r="F19" i="5"/>
  <c r="D20" i="5" s="1"/>
  <c r="E20" i="5" l="1"/>
  <c r="G20" i="5" s="1"/>
  <c r="F20" i="5"/>
  <c r="D21" i="5" s="1"/>
  <c r="E21" i="5" l="1"/>
  <c r="G21" i="5" s="1"/>
  <c r="F21" i="5"/>
  <c r="D22" i="5" s="1"/>
  <c r="E22" i="5" l="1"/>
  <c r="G22" i="5"/>
  <c r="F22" i="5"/>
  <c r="D23" i="5" s="1"/>
  <c r="E23" i="5" l="1"/>
  <c r="G23" i="5" s="1"/>
  <c r="F23" i="5"/>
  <c r="D24" i="5" s="1"/>
  <c r="E24" i="5" l="1"/>
  <c r="G24" i="5" s="1"/>
  <c r="F24" i="5"/>
  <c r="D25" i="5" s="1"/>
  <c r="E25" i="5" l="1"/>
  <c r="G25" i="5" s="1"/>
  <c r="F25" i="5"/>
  <c r="D26" i="5" s="1"/>
  <c r="E26" i="5" l="1"/>
  <c r="G26" i="5" s="1"/>
  <c r="F26" i="5"/>
  <c r="D27" i="5" s="1"/>
  <c r="E27" i="5" l="1"/>
  <c r="G27" i="5" s="1"/>
  <c r="F27" i="5"/>
  <c r="D28" i="5" s="1"/>
  <c r="E28" i="5" l="1"/>
  <c r="G28" i="5" s="1"/>
  <c r="F28" i="5"/>
  <c r="D29" i="5" s="1"/>
  <c r="E29" i="5" l="1"/>
  <c r="G29" i="5" s="1"/>
  <c r="F29" i="5"/>
  <c r="D30" i="5" s="1"/>
  <c r="E30" i="5" l="1"/>
  <c r="G30" i="5"/>
  <c r="F30" i="5"/>
  <c r="D31" i="5" s="1"/>
  <c r="E31" i="5" l="1"/>
  <c r="G31" i="5" s="1"/>
  <c r="F31" i="5"/>
  <c r="D32" i="5" s="1"/>
  <c r="E32" i="5" l="1"/>
  <c r="G32" i="5" s="1"/>
  <c r="F32" i="5"/>
  <c r="D33" i="5" s="1"/>
  <c r="E33" i="5" l="1"/>
  <c r="G33" i="5" s="1"/>
  <c r="F33" i="5"/>
  <c r="D34" i="5" s="1"/>
  <c r="E34" i="5" l="1"/>
  <c r="G34" i="5" s="1"/>
  <c r="F34" i="5"/>
  <c r="D35" i="5" s="1"/>
  <c r="E35" i="5" l="1"/>
  <c r="G35" i="5" s="1"/>
  <c r="F35" i="5"/>
  <c r="D36" i="5" s="1"/>
  <c r="E36" i="5" l="1"/>
  <c r="G36" i="5" s="1"/>
  <c r="F36" i="5"/>
  <c r="D37" i="5" s="1"/>
  <c r="E37" i="5" l="1"/>
  <c r="G37" i="5" s="1"/>
  <c r="F37" i="5"/>
  <c r="D38" i="5" s="1"/>
  <c r="E38" i="5" l="1"/>
  <c r="G38" i="5" s="1"/>
  <c r="F38" i="5"/>
  <c r="D39" i="5" s="1"/>
  <c r="E39" i="5" l="1"/>
  <c r="G39" i="5" s="1"/>
  <c r="F39" i="5"/>
  <c r="D40" i="5" s="1"/>
  <c r="E40" i="5" l="1"/>
  <c r="G40" i="5" s="1"/>
  <c r="F40" i="5"/>
  <c r="D41" i="5" s="1"/>
  <c r="E41" i="5" l="1"/>
  <c r="G41" i="5" s="1"/>
  <c r="F41" i="5"/>
  <c r="D42" i="5" s="1"/>
  <c r="E42" i="5" l="1"/>
  <c r="G42" i="5"/>
  <c r="F42" i="5"/>
  <c r="D43" i="5" s="1"/>
  <c r="E43" i="5" l="1"/>
  <c r="G43" i="5" s="1"/>
  <c r="F43" i="5"/>
  <c r="D44" i="5" s="1"/>
  <c r="E44" i="5" l="1"/>
  <c r="G44" i="5" s="1"/>
  <c r="F44" i="5"/>
  <c r="D45" i="5" s="1"/>
  <c r="E45" i="5" l="1"/>
  <c r="G45" i="5" s="1"/>
  <c r="F45" i="5"/>
  <c r="D46" i="5" s="1"/>
  <c r="E46" i="5" l="1"/>
  <c r="G46" i="5" s="1"/>
  <c r="F46" i="5"/>
  <c r="D47" i="5" s="1"/>
  <c r="E47" i="5" l="1"/>
  <c r="G47" i="5" s="1"/>
  <c r="F47" i="5"/>
  <c r="D48" i="5" s="1"/>
  <c r="E48" i="5" l="1"/>
  <c r="G48" i="5"/>
  <c r="F48" i="5"/>
  <c r="D49" i="5" s="1"/>
  <c r="E49" i="5" l="1"/>
  <c r="G49" i="5" s="1"/>
  <c r="F49" i="5"/>
  <c r="D50" i="5" s="1"/>
  <c r="E50" i="5" l="1"/>
  <c r="G50" i="5" s="1"/>
  <c r="F50" i="5"/>
  <c r="D51" i="5" s="1"/>
  <c r="E51" i="5" l="1"/>
  <c r="G51" i="5" s="1"/>
  <c r="F51" i="5"/>
  <c r="D52" i="5" s="1"/>
  <c r="E52" i="5" l="1"/>
  <c r="G52" i="5"/>
  <c r="F52" i="5"/>
  <c r="D53" i="5" s="1"/>
  <c r="E53" i="5" l="1"/>
  <c r="G53" i="5" s="1"/>
  <c r="F53" i="5"/>
  <c r="D54" i="5" s="1"/>
  <c r="E54" i="5" l="1"/>
  <c r="G54" i="5" s="1"/>
  <c r="F54" i="5"/>
  <c r="D55" i="5" s="1"/>
  <c r="E55" i="5" l="1"/>
  <c r="G55" i="5" s="1"/>
  <c r="F55" i="5"/>
  <c r="D56" i="5" s="1"/>
  <c r="E56" i="5" l="1"/>
  <c r="G56" i="5" s="1"/>
  <c r="F56" i="5"/>
  <c r="D57" i="5" s="1"/>
  <c r="E57" i="5" l="1"/>
  <c r="G57" i="5" s="1"/>
  <c r="F57" i="5"/>
  <c r="D58" i="5" s="1"/>
  <c r="E58" i="5" l="1"/>
  <c r="G58" i="5" s="1"/>
  <c r="F58" i="5"/>
  <c r="D59" i="5" s="1"/>
  <c r="E59" i="5" l="1"/>
  <c r="G59" i="5" s="1"/>
  <c r="F59" i="5"/>
  <c r="D60" i="5" s="1"/>
  <c r="E60" i="5" l="1"/>
  <c r="G60" i="5" s="1"/>
  <c r="F60" i="5"/>
  <c r="D61" i="5" s="1"/>
  <c r="E61" i="5" l="1"/>
  <c r="G61" i="5"/>
  <c r="F61" i="5"/>
  <c r="D62" i="5" s="1"/>
  <c r="E62" i="5" l="1"/>
  <c r="G62" i="5" s="1"/>
  <c r="F62" i="5"/>
  <c r="D63" i="5" s="1"/>
  <c r="E63" i="5" l="1"/>
  <c r="G63" i="5" s="1"/>
  <c r="F63" i="5"/>
  <c r="D64" i="5" s="1"/>
  <c r="E64" i="5" l="1"/>
  <c r="G64" i="5" s="1"/>
  <c r="F64" i="5"/>
  <c r="D65" i="5" s="1"/>
  <c r="E65" i="5" l="1"/>
  <c r="G65" i="5" s="1"/>
  <c r="F65" i="5"/>
  <c r="D66" i="5" s="1"/>
  <c r="E66" i="5" l="1"/>
  <c r="G66" i="5"/>
  <c r="F66" i="5"/>
  <c r="D67" i="5" s="1"/>
  <c r="E67" i="5" l="1"/>
  <c r="G67" i="5" s="1"/>
  <c r="F67" i="5"/>
  <c r="D68" i="5" s="1"/>
  <c r="E68" i="5" l="1"/>
  <c r="G68" i="5" s="1"/>
  <c r="F68" i="5"/>
  <c r="D69" i="5" s="1"/>
  <c r="E69" i="5" l="1"/>
  <c r="G69" i="5" s="1"/>
  <c r="F69" i="5"/>
  <c r="D70" i="5" s="1"/>
  <c r="E70" i="5" l="1"/>
  <c r="G70" i="5" s="1"/>
  <c r="F70" i="5"/>
  <c r="D71" i="5" s="1"/>
  <c r="E71" i="5" l="1"/>
  <c r="G71" i="5" s="1"/>
  <c r="F71" i="5"/>
  <c r="D72" i="5" s="1"/>
  <c r="E72" i="5" l="1"/>
  <c r="G72" i="5" s="1"/>
  <c r="F72" i="5"/>
  <c r="D73" i="5" s="1"/>
  <c r="E73" i="5" l="1"/>
  <c r="G73" i="5" s="1"/>
  <c r="F73" i="5"/>
  <c r="D74" i="5" s="1"/>
  <c r="E74" i="5" l="1"/>
  <c r="G74" i="5"/>
  <c r="F74" i="5"/>
  <c r="D75" i="5" s="1"/>
  <c r="E75" i="5" l="1"/>
  <c r="G75" i="5" s="1"/>
  <c r="F75" i="5"/>
  <c r="D76" i="5" s="1"/>
  <c r="E76" i="5" l="1"/>
  <c r="G76" i="5" s="1"/>
  <c r="F76" i="5"/>
  <c r="D77" i="5" s="1"/>
  <c r="E77" i="5" l="1"/>
  <c r="G77" i="5" s="1"/>
  <c r="F77" i="5"/>
  <c r="D78" i="5" s="1"/>
  <c r="E78" i="5" l="1"/>
  <c r="G78" i="5" s="1"/>
  <c r="F78" i="5"/>
  <c r="D79" i="5" s="1"/>
  <c r="E79" i="5" l="1"/>
  <c r="G79" i="5" s="1"/>
  <c r="F79" i="5"/>
  <c r="D80" i="5" s="1"/>
  <c r="E80" i="5" l="1"/>
  <c r="G80" i="5" s="1"/>
  <c r="F80" i="5"/>
  <c r="D81" i="5" s="1"/>
  <c r="E81" i="5" l="1"/>
  <c r="G81" i="5" s="1"/>
  <c r="F81" i="5"/>
  <c r="D82" i="5" s="1"/>
  <c r="E82" i="5" l="1"/>
  <c r="G82" i="5" s="1"/>
  <c r="F82" i="5"/>
  <c r="D83" i="5" s="1"/>
  <c r="E83" i="5" l="1"/>
  <c r="G83" i="5" s="1"/>
  <c r="F83" i="5"/>
  <c r="D84" i="5" s="1"/>
  <c r="E84" i="5" l="1"/>
  <c r="G84" i="5" s="1"/>
  <c r="F84" i="5"/>
  <c r="D85" i="5" s="1"/>
  <c r="E85" i="5" l="1"/>
  <c r="G85" i="5" s="1"/>
  <c r="F85" i="5"/>
  <c r="D86" i="5" s="1"/>
  <c r="E86" i="5" l="1"/>
  <c r="G86" i="5"/>
  <c r="F86" i="5"/>
  <c r="D87" i="5" s="1"/>
  <c r="E87" i="5" l="1"/>
  <c r="G87" i="5" s="1"/>
  <c r="F87" i="5"/>
  <c r="D88" i="5" s="1"/>
  <c r="E88" i="5" l="1"/>
  <c r="G88" i="5" s="1"/>
  <c r="F88" i="5"/>
  <c r="D89" i="5" s="1"/>
  <c r="E89" i="5" l="1"/>
  <c r="G89" i="5"/>
  <c r="F89" i="5"/>
  <c r="D90" i="5" s="1"/>
  <c r="E90" i="5" l="1"/>
  <c r="G90" i="5" s="1"/>
  <c r="F90" i="5"/>
  <c r="D91" i="5" s="1"/>
  <c r="E91" i="5" l="1"/>
  <c r="G91" i="5"/>
  <c r="F91" i="5"/>
  <c r="D92" i="5" s="1"/>
  <c r="E92" i="5" l="1"/>
  <c r="G92" i="5" s="1"/>
  <c r="F92" i="5"/>
  <c r="D93" i="5" s="1"/>
  <c r="E93" i="5" l="1"/>
  <c r="G93" i="5" s="1"/>
  <c r="F93" i="5"/>
  <c r="D94" i="5" s="1"/>
  <c r="E94" i="5" l="1"/>
  <c r="G94" i="5" s="1"/>
  <c r="F94" i="5"/>
  <c r="D95" i="5" s="1"/>
  <c r="E95" i="5" l="1"/>
  <c r="G95" i="5" s="1"/>
  <c r="F95" i="5"/>
  <c r="D96" i="5" s="1"/>
  <c r="E96" i="5" l="1"/>
  <c r="G96" i="5" s="1"/>
  <c r="F96" i="5"/>
  <c r="D97" i="5" s="1"/>
  <c r="E97" i="5" l="1"/>
  <c r="G97" i="5" s="1"/>
  <c r="F97" i="5"/>
  <c r="D98" i="5" s="1"/>
  <c r="E98" i="5" l="1"/>
  <c r="G98" i="5" s="1"/>
  <c r="F98" i="5"/>
  <c r="D99" i="5" s="1"/>
  <c r="E99" i="5" l="1"/>
  <c r="G99" i="5" s="1"/>
  <c r="F99" i="5"/>
  <c r="D100" i="5" s="1"/>
  <c r="E100" i="5" l="1"/>
  <c r="G100" i="5" s="1"/>
  <c r="F100" i="5"/>
  <c r="D101" i="5" s="1"/>
  <c r="E101" i="5" l="1"/>
  <c r="G101" i="5" s="1"/>
  <c r="F101" i="5"/>
  <c r="D102" i="5" s="1"/>
  <c r="E102" i="5" l="1"/>
  <c r="G102" i="5"/>
  <c r="F102" i="5"/>
  <c r="D103" i="5" s="1"/>
  <c r="E103" i="5" l="1"/>
  <c r="G103" i="5" s="1"/>
  <c r="F103" i="5"/>
  <c r="D104" i="5" s="1"/>
  <c r="E104" i="5" l="1"/>
  <c r="G104" i="5" s="1"/>
  <c r="F104" i="5"/>
  <c r="D105" i="5" s="1"/>
  <c r="E105" i="5" l="1"/>
  <c r="G105" i="5"/>
  <c r="F105" i="5"/>
  <c r="D106" i="5" s="1"/>
  <c r="E106" i="5" l="1"/>
  <c r="G106" i="5" s="1"/>
  <c r="F106" i="5"/>
  <c r="D107" i="5" s="1"/>
  <c r="E107" i="5" l="1"/>
  <c r="G107" i="5" s="1"/>
  <c r="F107" i="5"/>
  <c r="D108" i="5" s="1"/>
  <c r="E108" i="5" l="1"/>
  <c r="G108" i="5" s="1"/>
  <c r="F108" i="5"/>
  <c r="D109" i="5" s="1"/>
  <c r="E109" i="5" l="1"/>
  <c r="G109" i="5" s="1"/>
  <c r="F109" i="5"/>
  <c r="D110" i="5" s="1"/>
  <c r="E110" i="5" l="1"/>
  <c r="G110" i="5" s="1"/>
  <c r="F110" i="5"/>
  <c r="D111" i="5" s="1"/>
  <c r="E111" i="5" l="1"/>
  <c r="G111" i="5"/>
  <c r="F111" i="5"/>
  <c r="D112" i="5" s="1"/>
  <c r="E112" i="5" l="1"/>
  <c r="G112" i="5" s="1"/>
  <c r="F112" i="5"/>
  <c r="D113" i="5" s="1"/>
  <c r="E113" i="5" l="1"/>
  <c r="G113" i="5" s="1"/>
  <c r="F113" i="5"/>
  <c r="D114" i="5" s="1"/>
  <c r="E114" i="5" l="1"/>
  <c r="G114" i="5" s="1"/>
  <c r="F114" i="5"/>
  <c r="D115" i="5" s="1"/>
  <c r="E115" i="5" l="1"/>
  <c r="G115" i="5" s="1"/>
  <c r="F115" i="5"/>
  <c r="D116" i="5" s="1"/>
  <c r="E116" i="5" l="1"/>
  <c r="G116" i="5" s="1"/>
  <c r="F116" i="5"/>
  <c r="D117" i="5" s="1"/>
  <c r="E117" i="5" l="1"/>
  <c r="G117" i="5" s="1"/>
  <c r="F117" i="5"/>
  <c r="D118" i="5" s="1"/>
  <c r="E118" i="5" l="1"/>
  <c r="G118" i="5" s="1"/>
  <c r="F118" i="5"/>
  <c r="D119" i="5" s="1"/>
  <c r="E119" i="5" l="1"/>
  <c r="G119" i="5" s="1"/>
  <c r="F11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rmedRobberyOneAtr.csv" type="6" refreshedVersion="0" background="1" saveData="1">
    <textPr fileType="mac" sourceFile="WORK:5 Taught Masters:BN518:data preprocessing:Unit 5 - series data:datasets:crime:ArmedRobberyOneAtr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<sst xmlns="http://schemas.openxmlformats.org/spreadsheetml/2006/main" count="44" uniqueCount="33">
  <si>
    <t>Date</t>
  </si>
  <si>
    <t>Data</t>
  </si>
  <si>
    <t>SMA3</t>
  </si>
  <si>
    <t>SMA5</t>
  </si>
  <si>
    <t>SMA9</t>
  </si>
  <si>
    <t>EMA</t>
  </si>
  <si>
    <t>alpha</t>
  </si>
  <si>
    <t>First Difference</t>
  </si>
  <si>
    <t>2nd difference</t>
  </si>
  <si>
    <t>Try difference values of alpha, range [0,1]</t>
  </si>
  <si>
    <t>1-alpha</t>
  </si>
  <si>
    <t>First order smoothing (alpha only)</t>
  </si>
  <si>
    <t>beta term</t>
  </si>
  <si>
    <t>weights</t>
  </si>
  <si>
    <t>number*weight:</t>
  </si>
  <si>
    <t>Average</t>
  </si>
  <si>
    <t>sum of weights:</t>
  </si>
  <si>
    <t>Weights</t>
  </si>
  <si>
    <t>Weighted average</t>
  </si>
  <si>
    <t>number * weight:</t>
  </si>
  <si>
    <t>SMA9:</t>
  </si>
  <si>
    <t>1-beta</t>
  </si>
  <si>
    <t>Gamma term</t>
  </si>
  <si>
    <t>gamma</t>
  </si>
  <si>
    <t>1-gamma</t>
  </si>
  <si>
    <t>Beta:</t>
  </si>
  <si>
    <t>Gamma:</t>
  </si>
  <si>
    <t>(assuming L = 1 (time periods ago))</t>
  </si>
  <si>
    <t>Try difference values of alpha, beta and gamma, range [0,1]</t>
  </si>
  <si>
    <t>working col (bt)</t>
  </si>
  <si>
    <t>working col (ct)</t>
  </si>
  <si>
    <t>Second order smoothing (alph &amp; beta)</t>
  </si>
  <si>
    <t>Third order smoothing (alpha, beta, gamma)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</si>
</sst>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66006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12"/>
      <color theme="0" tint="-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17" fontId="0" fillId="0" borderId="0" xfId="0" applyNumberFormat="1"/>
    <xf numFmtId="0" fontId="2" fillId="0" borderId="1" xfId="0" applyFont="1" applyBorder="1"/>
    <xf numFmtId="17" fontId="0" fillId="0" borderId="1" xfId="0" applyNumberFormat="1" applyBorder="1"/>
    <xf numFmtId="0" fontId="0" fillId="0" borderId="1" xfId="0" applyBorder="1"/>
    <xf numFmtId="2" fontId="0" fillId="0" borderId="0" xfId="0" applyNumberFormat="1"/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5" fillId="3" borderId="1" xfId="0" applyFont="1" applyFill="1" applyBorder="1"/>
    <xf numFmtId="164" fontId="6" fillId="4" borderId="1" xfId="0" applyNumberFormat="1" applyFont="1" applyFill="1" applyBorder="1"/>
    <xf numFmtId="0" fontId="6" fillId="4" borderId="1" xfId="0" applyFont="1" applyFill="1" applyBorder="1"/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7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5" borderId="1" xfId="0" applyFill="1" applyBorder="1"/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17" fontId="10" fillId="0" borderId="1" xfId="0" applyNumberFormat="1" applyFont="1" applyBorder="1"/>
    <xf numFmtId="0" fontId="10" fillId="4" borderId="1" xfId="0" applyFont="1" applyFill="1" applyBorder="1"/>
    <xf numFmtId="0" fontId="10" fillId="0" borderId="0" xfId="0" applyFont="1"/>
    <xf numFmtId="0" fontId="0" fillId="6" borderId="1" xfId="0" applyFill="1" applyBorder="1"/>
    <xf numFmtId="0" fontId="10" fillId="6" borderId="1" xfId="0" applyFont="1" applyFill="1" applyBorder="1"/>
    <xf numFmtId="164" fontId="10" fillId="4" borderId="0" xfId="0" applyNumberFormat="1" applyFont="1" applyFill="1"/>
    <xf numFmtId="0" fontId="0" fillId="0" borderId="0" xfId="0" applyAlignment="1">
      <alignment wrapText="1"/>
    </xf>
    <xf numFmtId="164" fontId="10" fillId="4" borderId="1" xfId="0" applyNumberFormat="1" applyFont="1" applyFill="1" applyBorder="1"/>
    <xf numFmtId="0" fontId="11" fillId="0" borderId="0" xfId="0" applyFont="1"/>
    <xf numFmtId="164" fontId="11" fillId="0" borderId="0" xfId="0" applyNumberFormat="1" applyFont="1"/>
    <xf numFmtId="0" fontId="0" fillId="0" borderId="0" xfId="0" applyFont="1"/>
    <xf numFmtId="0" fontId="1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Font="1" applyBorder="1"/>
    <xf numFmtId="164" fontId="0" fillId="0" borderId="1" xfId="0" applyNumberFormat="1" applyFont="1" applyBorder="1"/>
  </cellXfs>
  <cellStyles count="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moving average'!$B$1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'simple moving average'!$B$2:$B$25</c:f>
              <c:numCache>
                <c:formatCode>General</c:formatCode>
                <c:ptCount val="24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A-D04C-99FF-1F0EF53FD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9753960"/>
        <c:axId val="-2119812904"/>
      </c:lineChart>
      <c:catAx>
        <c:axId val="-211975396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9812904"/>
        <c:crosses val="autoZero"/>
        <c:auto val="1"/>
        <c:lblAlgn val="ctr"/>
        <c:lblOffset val="100"/>
        <c:noMultiLvlLbl val="0"/>
      </c:catAx>
      <c:valAx>
        <c:axId val="-2119812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9753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moving average'!$C$1</c:f>
              <c:strCache>
                <c:ptCount val="1"/>
                <c:pt idx="0">
                  <c:v>SMA3</c:v>
                </c:pt>
              </c:strCache>
            </c:strRef>
          </c:tx>
          <c:marker>
            <c:symbol val="none"/>
          </c:marker>
          <c:val>
            <c:numRef>
              <c:f>'simple moving average'!$C$2:$C$25</c:f>
              <c:numCache>
                <c:formatCode>0.0</c:formatCode>
                <c:ptCount val="24"/>
                <c:pt idx="1">
                  <c:v>43.333333333333336</c:v>
                </c:pt>
                <c:pt idx="2">
                  <c:v>43</c:v>
                </c:pt>
                <c:pt idx="3">
                  <c:v>44.333333333333336</c:v>
                </c:pt>
                <c:pt idx="4">
                  <c:v>40.333333333333336</c:v>
                </c:pt>
                <c:pt idx="5">
                  <c:v>41.666666666666664</c:v>
                </c:pt>
                <c:pt idx="6">
                  <c:v>39</c:v>
                </c:pt>
                <c:pt idx="7">
                  <c:v>39.333333333333336</c:v>
                </c:pt>
                <c:pt idx="8">
                  <c:v>36.333333333333336</c:v>
                </c:pt>
                <c:pt idx="9">
                  <c:v>34.333333333333336</c:v>
                </c:pt>
                <c:pt idx="10">
                  <c:v>37.666666666666664</c:v>
                </c:pt>
                <c:pt idx="11">
                  <c:v>42.666666666666664</c:v>
                </c:pt>
                <c:pt idx="12">
                  <c:v>52.666666666666664</c:v>
                </c:pt>
                <c:pt idx="13">
                  <c:v>57.333333333333336</c:v>
                </c:pt>
                <c:pt idx="14">
                  <c:v>51.333333333333336</c:v>
                </c:pt>
                <c:pt idx="15">
                  <c:v>44.666666666666664</c:v>
                </c:pt>
                <c:pt idx="16">
                  <c:v>39.333333333333336</c:v>
                </c:pt>
                <c:pt idx="17">
                  <c:v>46.333333333333336</c:v>
                </c:pt>
                <c:pt idx="18">
                  <c:v>53.333333333333336</c:v>
                </c:pt>
                <c:pt idx="19">
                  <c:v>56.666666666666664</c:v>
                </c:pt>
                <c:pt idx="20">
                  <c:v>56.333333333333336</c:v>
                </c:pt>
                <c:pt idx="21">
                  <c:v>59.666666666666664</c:v>
                </c:pt>
                <c:pt idx="22">
                  <c:v>70.666666666666671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5-7F45-9055-28EA54858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1080984"/>
        <c:axId val="-2113147800"/>
      </c:lineChart>
      <c:catAx>
        <c:axId val="-211108098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3147800"/>
        <c:crosses val="autoZero"/>
        <c:auto val="1"/>
        <c:lblAlgn val="ctr"/>
        <c:lblOffset val="100"/>
        <c:noMultiLvlLbl val="0"/>
      </c:catAx>
      <c:valAx>
        <c:axId val="-211314780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-2111080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moving average'!$D$1</c:f>
              <c:strCache>
                <c:ptCount val="1"/>
                <c:pt idx="0">
                  <c:v>SMA5</c:v>
                </c:pt>
              </c:strCache>
            </c:strRef>
          </c:tx>
          <c:marker>
            <c:symbol val="none"/>
          </c:marker>
          <c:val>
            <c:numRef>
              <c:f>'simple moving average'!$D$2:$D$25</c:f>
              <c:numCache>
                <c:formatCode>General</c:formatCode>
                <c:ptCount val="24"/>
                <c:pt idx="2">
                  <c:v>42.6</c:v>
                </c:pt>
                <c:pt idx="3">
                  <c:v>42</c:v>
                </c:pt>
                <c:pt idx="4">
                  <c:v>43</c:v>
                </c:pt>
                <c:pt idx="5">
                  <c:v>40</c:v>
                </c:pt>
                <c:pt idx="6">
                  <c:v>39.799999999999997</c:v>
                </c:pt>
                <c:pt idx="7">
                  <c:v>38.200000000000003</c:v>
                </c:pt>
                <c:pt idx="8">
                  <c:v>36.4</c:v>
                </c:pt>
                <c:pt idx="9">
                  <c:v>37.4</c:v>
                </c:pt>
                <c:pt idx="10">
                  <c:v>40.4</c:v>
                </c:pt>
                <c:pt idx="11">
                  <c:v>44.4</c:v>
                </c:pt>
                <c:pt idx="12">
                  <c:v>50</c:v>
                </c:pt>
                <c:pt idx="13">
                  <c:v>50.6</c:v>
                </c:pt>
                <c:pt idx="14">
                  <c:v>48.6</c:v>
                </c:pt>
                <c:pt idx="15">
                  <c:v>48</c:v>
                </c:pt>
                <c:pt idx="16">
                  <c:v>46.8</c:v>
                </c:pt>
                <c:pt idx="17">
                  <c:v>46.2</c:v>
                </c:pt>
                <c:pt idx="18">
                  <c:v>51.2</c:v>
                </c:pt>
                <c:pt idx="19">
                  <c:v>53.8</c:v>
                </c:pt>
                <c:pt idx="20">
                  <c:v>58.4</c:v>
                </c:pt>
                <c:pt idx="2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A-6141-ADD9-60D527EC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9189752"/>
        <c:axId val="2079423000"/>
      </c:lineChart>
      <c:catAx>
        <c:axId val="-2109189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79423000"/>
        <c:crosses val="autoZero"/>
        <c:auto val="1"/>
        <c:lblAlgn val="ctr"/>
        <c:lblOffset val="100"/>
        <c:noMultiLvlLbl val="0"/>
      </c:catAx>
      <c:valAx>
        <c:axId val="2079423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9189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moving average'!$E$1</c:f>
              <c:strCache>
                <c:ptCount val="1"/>
                <c:pt idx="0">
                  <c:v>SMA9</c:v>
                </c:pt>
              </c:strCache>
            </c:strRef>
          </c:tx>
          <c:marker>
            <c:symbol val="none"/>
          </c:marker>
          <c:val>
            <c:numRef>
              <c:f>'simple moving average'!$E$2:$E$25</c:f>
              <c:numCache>
                <c:formatCode>0.0</c:formatCode>
                <c:ptCount val="24"/>
                <c:pt idx="4">
                  <c:v>41</c:v>
                </c:pt>
                <c:pt idx="5">
                  <c:v>40.333333333333336</c:v>
                </c:pt>
                <c:pt idx="6">
                  <c:v>39.222222222222221</c:v>
                </c:pt>
                <c:pt idx="7">
                  <c:v>39.111111111111114</c:v>
                </c:pt>
                <c:pt idx="8">
                  <c:v>40.222222222222221</c:v>
                </c:pt>
                <c:pt idx="9">
                  <c:v>42</c:v>
                </c:pt>
                <c:pt idx="10">
                  <c:v>44.777777777777779</c:v>
                </c:pt>
                <c:pt idx="11">
                  <c:v>43.444444444444443</c:v>
                </c:pt>
                <c:pt idx="12">
                  <c:v>43.888888888888886</c:v>
                </c:pt>
                <c:pt idx="13">
                  <c:v>44.777777777777779</c:v>
                </c:pt>
                <c:pt idx="14">
                  <c:v>46.777777777777779</c:v>
                </c:pt>
                <c:pt idx="15">
                  <c:v>50.222222222222221</c:v>
                </c:pt>
                <c:pt idx="16">
                  <c:v>51.111111111111114</c:v>
                </c:pt>
                <c:pt idx="17">
                  <c:v>51.333333333333336</c:v>
                </c:pt>
                <c:pt idx="18">
                  <c:v>52.555555555555557</c:v>
                </c:pt>
                <c:pt idx="19">
                  <c:v>55.555555555555557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9-D742-8C29-74676785B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9351368"/>
        <c:axId val="2079416024"/>
      </c:lineChart>
      <c:catAx>
        <c:axId val="-2109351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079416024"/>
        <c:crosses val="autoZero"/>
        <c:auto val="1"/>
        <c:lblAlgn val="ctr"/>
        <c:lblOffset val="100"/>
        <c:noMultiLvlLbl val="0"/>
      </c:catAx>
      <c:valAx>
        <c:axId val="207941602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-2109351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'simple moving average'!$B$1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'simple moving average'!$B$2:$B$25</c:f>
              <c:numCache>
                <c:formatCode>General</c:formatCode>
                <c:ptCount val="24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3-5247-A5AA-FE905F3F9E62}"/>
            </c:ext>
          </c:extLst>
        </c:ser>
        <c:ser>
          <c:idx val="1"/>
          <c:order val="1"/>
          <c:tx>
            <c:strRef>
              <c:f>'simple moving average'!$C$1</c:f>
              <c:strCache>
                <c:ptCount val="1"/>
                <c:pt idx="0">
                  <c:v>SMA3</c:v>
                </c:pt>
              </c:strCache>
            </c:strRef>
          </c:tx>
          <c:marker>
            <c:symbol val="none"/>
          </c:marker>
          <c:val>
            <c:numRef>
              <c:f>'simple moving average'!$C$2:$C$25</c:f>
              <c:numCache>
                <c:formatCode>0.0</c:formatCode>
                <c:ptCount val="24"/>
                <c:pt idx="1">
                  <c:v>43.333333333333336</c:v>
                </c:pt>
                <c:pt idx="2">
                  <c:v>43</c:v>
                </c:pt>
                <c:pt idx="3">
                  <c:v>44.333333333333336</c:v>
                </c:pt>
                <c:pt idx="4">
                  <c:v>40.333333333333336</c:v>
                </c:pt>
                <c:pt idx="5">
                  <c:v>41.666666666666664</c:v>
                </c:pt>
                <c:pt idx="6">
                  <c:v>39</c:v>
                </c:pt>
                <c:pt idx="7">
                  <c:v>39.333333333333336</c:v>
                </c:pt>
                <c:pt idx="8">
                  <c:v>36.333333333333336</c:v>
                </c:pt>
                <c:pt idx="9">
                  <c:v>34.333333333333336</c:v>
                </c:pt>
                <c:pt idx="10">
                  <c:v>37.666666666666664</c:v>
                </c:pt>
                <c:pt idx="11">
                  <c:v>42.666666666666664</c:v>
                </c:pt>
                <c:pt idx="12">
                  <c:v>52.666666666666664</c:v>
                </c:pt>
                <c:pt idx="13">
                  <c:v>57.333333333333336</c:v>
                </c:pt>
                <c:pt idx="14">
                  <c:v>51.333333333333336</c:v>
                </c:pt>
                <c:pt idx="15">
                  <c:v>44.666666666666664</c:v>
                </c:pt>
                <c:pt idx="16">
                  <c:v>39.333333333333336</c:v>
                </c:pt>
                <c:pt idx="17">
                  <c:v>46.333333333333336</c:v>
                </c:pt>
                <c:pt idx="18">
                  <c:v>53.333333333333336</c:v>
                </c:pt>
                <c:pt idx="19">
                  <c:v>56.666666666666664</c:v>
                </c:pt>
                <c:pt idx="20">
                  <c:v>56.333333333333336</c:v>
                </c:pt>
                <c:pt idx="21">
                  <c:v>59.666666666666664</c:v>
                </c:pt>
                <c:pt idx="22">
                  <c:v>70.666666666666671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3-5247-A5AA-FE905F3F9E62}"/>
            </c:ext>
          </c:extLst>
        </c:ser>
        <c:ser>
          <c:idx val="2"/>
          <c:order val="2"/>
          <c:tx>
            <c:strRef>
              <c:f>'simple moving average'!$D$1</c:f>
              <c:strCache>
                <c:ptCount val="1"/>
                <c:pt idx="0">
                  <c:v>SMA5</c:v>
                </c:pt>
              </c:strCache>
            </c:strRef>
          </c:tx>
          <c:marker>
            <c:symbol val="none"/>
          </c:marker>
          <c:val>
            <c:numRef>
              <c:f>'simple moving average'!$D$2:$D$25</c:f>
              <c:numCache>
                <c:formatCode>General</c:formatCode>
                <c:ptCount val="24"/>
                <c:pt idx="2">
                  <c:v>42.6</c:v>
                </c:pt>
                <c:pt idx="3">
                  <c:v>42</c:v>
                </c:pt>
                <c:pt idx="4">
                  <c:v>43</c:v>
                </c:pt>
                <c:pt idx="5">
                  <c:v>40</c:v>
                </c:pt>
                <c:pt idx="6">
                  <c:v>39.799999999999997</c:v>
                </c:pt>
                <c:pt idx="7">
                  <c:v>38.200000000000003</c:v>
                </c:pt>
                <c:pt idx="8">
                  <c:v>36.4</c:v>
                </c:pt>
                <c:pt idx="9">
                  <c:v>37.4</c:v>
                </c:pt>
                <c:pt idx="10">
                  <c:v>40.4</c:v>
                </c:pt>
                <c:pt idx="11">
                  <c:v>44.4</c:v>
                </c:pt>
                <c:pt idx="12">
                  <c:v>50</c:v>
                </c:pt>
                <c:pt idx="13">
                  <c:v>50.6</c:v>
                </c:pt>
                <c:pt idx="14">
                  <c:v>48.6</c:v>
                </c:pt>
                <c:pt idx="15">
                  <c:v>48</c:v>
                </c:pt>
                <c:pt idx="16">
                  <c:v>46.8</c:v>
                </c:pt>
                <c:pt idx="17">
                  <c:v>46.2</c:v>
                </c:pt>
                <c:pt idx="18">
                  <c:v>51.2</c:v>
                </c:pt>
                <c:pt idx="19">
                  <c:v>53.8</c:v>
                </c:pt>
                <c:pt idx="20">
                  <c:v>58.4</c:v>
                </c:pt>
                <c:pt idx="2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3-5247-A5AA-FE905F3F9E62}"/>
            </c:ext>
          </c:extLst>
        </c:ser>
        <c:ser>
          <c:idx val="3"/>
          <c:order val="3"/>
          <c:tx>
            <c:strRef>
              <c:f>'simple moving average'!$E$1</c:f>
              <c:strCache>
                <c:ptCount val="1"/>
                <c:pt idx="0">
                  <c:v>SMA9</c:v>
                </c:pt>
              </c:strCache>
            </c:strRef>
          </c:tx>
          <c:marker>
            <c:symbol val="none"/>
          </c:marker>
          <c:val>
            <c:numRef>
              <c:f>'simple moving average'!$E$2:$E$25</c:f>
              <c:numCache>
                <c:formatCode>0.0</c:formatCode>
                <c:ptCount val="24"/>
                <c:pt idx="4">
                  <c:v>41</c:v>
                </c:pt>
                <c:pt idx="5">
                  <c:v>40.333333333333336</c:v>
                </c:pt>
                <c:pt idx="6">
                  <c:v>39.222222222222221</c:v>
                </c:pt>
                <c:pt idx="7">
                  <c:v>39.111111111111114</c:v>
                </c:pt>
                <c:pt idx="8">
                  <c:v>40.222222222222221</c:v>
                </c:pt>
                <c:pt idx="9">
                  <c:v>42</c:v>
                </c:pt>
                <c:pt idx="10">
                  <c:v>44.777777777777779</c:v>
                </c:pt>
                <c:pt idx="11">
                  <c:v>43.444444444444443</c:v>
                </c:pt>
                <c:pt idx="12">
                  <c:v>43.888888888888886</c:v>
                </c:pt>
                <c:pt idx="13">
                  <c:v>44.777777777777779</c:v>
                </c:pt>
                <c:pt idx="14">
                  <c:v>46.777777777777779</c:v>
                </c:pt>
                <c:pt idx="15">
                  <c:v>50.222222222222221</c:v>
                </c:pt>
                <c:pt idx="16">
                  <c:v>51.111111111111114</c:v>
                </c:pt>
                <c:pt idx="17">
                  <c:v>51.333333333333336</c:v>
                </c:pt>
                <c:pt idx="18">
                  <c:v>52.555555555555557</c:v>
                </c:pt>
                <c:pt idx="19">
                  <c:v>55.555555555555557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03-5247-A5AA-FE905F3F9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9467432"/>
        <c:axId val="-2109178376"/>
      </c:lineChart>
      <c:catAx>
        <c:axId val="-2109467432"/>
        <c:scaling>
          <c:orientation val="minMax"/>
        </c:scaling>
        <c:delete val="0"/>
        <c:axPos val="b"/>
        <c:majorTickMark val="out"/>
        <c:minorTickMark val="none"/>
        <c:tickLblPos val="nextTo"/>
        <c:crossAx val="-2109178376"/>
        <c:crosses val="autoZero"/>
        <c:auto val="1"/>
        <c:lblAlgn val="ctr"/>
        <c:lblOffset val="100"/>
        <c:noMultiLvlLbl val="0"/>
      </c:catAx>
      <c:valAx>
        <c:axId val="-2109178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9467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'exponential moving average'!$B$1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'exponential moving average'!$B$2:$B$28</c:f>
              <c:numCache>
                <c:formatCode>General</c:formatCode>
                <c:ptCount val="27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  <c:pt idx="24">
                  <c:v>74</c:v>
                </c:pt>
                <c:pt idx="25">
                  <c:v>62</c:v>
                </c:pt>
                <c:pt idx="26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1-4948-864E-E96BEAE770A7}"/>
            </c:ext>
          </c:extLst>
        </c:ser>
        <c:ser>
          <c:idx val="1"/>
          <c:order val="1"/>
          <c:tx>
            <c:strRef>
              <c:f>'exponential moving average'!$C$1</c:f>
              <c:strCache>
                <c:ptCount val="1"/>
                <c:pt idx="0">
                  <c:v>EMA</c:v>
                </c:pt>
              </c:strCache>
            </c:strRef>
          </c:tx>
          <c:marker>
            <c:symbol val="none"/>
          </c:marker>
          <c:val>
            <c:numRef>
              <c:f>'exponential moving average'!$C$2:$C$28</c:f>
              <c:numCache>
                <c:formatCode>0.0</c:formatCode>
                <c:ptCount val="27"/>
                <c:pt idx="0" formatCode="General">
                  <c:v>41</c:v>
                </c:pt>
                <c:pt idx="1">
                  <c:v>41</c:v>
                </c:pt>
                <c:pt idx="2">
                  <c:v>39.6</c:v>
                </c:pt>
                <c:pt idx="3">
                  <c:v>46.88</c:v>
                </c:pt>
                <c:pt idx="4">
                  <c:v>42.064000000000007</c:v>
                </c:pt>
                <c:pt idx="5">
                  <c:v>42.719200000000001</c:v>
                </c:pt>
                <c:pt idx="6">
                  <c:v>39.415759999999999</c:v>
                </c:pt>
                <c:pt idx="7">
                  <c:v>42.624727999999998</c:v>
                </c:pt>
                <c:pt idx="8">
                  <c:v>37.2874184</c:v>
                </c:pt>
                <c:pt idx="9">
                  <c:v>38.486225519999998</c:v>
                </c:pt>
                <c:pt idx="10">
                  <c:v>36.045867655999999</c:v>
                </c:pt>
                <c:pt idx="11">
                  <c:v>31.113760296799999</c:v>
                </c:pt>
                <c:pt idx="12">
                  <c:v>43.634128089039997</c:v>
                </c:pt>
                <c:pt idx="13">
                  <c:v>48.090238426711998</c:v>
                </c:pt>
                <c:pt idx="14">
                  <c:v>55.727071528013596</c:v>
                </c:pt>
                <c:pt idx="15">
                  <c:v>60.818121458404079</c:v>
                </c:pt>
                <c:pt idx="16">
                  <c:v>40.645436437521226</c:v>
                </c:pt>
                <c:pt idx="17">
                  <c:v>39.493630931256369</c:v>
                </c:pt>
                <c:pt idx="18">
                  <c:v>44.748089279376913</c:v>
                </c:pt>
                <c:pt idx="19">
                  <c:v>50.52442678381307</c:v>
                </c:pt>
                <c:pt idx="20">
                  <c:v>57.157328035143919</c:v>
                </c:pt>
                <c:pt idx="21">
                  <c:v>57.047198410543174</c:v>
                </c:pt>
                <c:pt idx="22">
                  <c:v>53.514159523162952</c:v>
                </c:pt>
                <c:pt idx="23">
                  <c:v>65.054247856948891</c:v>
                </c:pt>
                <c:pt idx="24">
                  <c:v>82.516274357084654</c:v>
                </c:pt>
                <c:pt idx="25">
                  <c:v>76.554882307125396</c:v>
                </c:pt>
                <c:pt idx="26">
                  <c:v>66.366464692137626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F1-4948-864E-E96BEAE77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9650440"/>
        <c:axId val="-2119647464"/>
      </c:lineChart>
      <c:catAx>
        <c:axId val="-211965044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9647464"/>
        <c:crosses val="autoZero"/>
        <c:auto val="1"/>
        <c:lblAlgn val="ctr"/>
        <c:lblOffset val="100"/>
        <c:noMultiLvlLbl val="0"/>
      </c:catAx>
      <c:valAx>
        <c:axId val="-2119647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9650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differencing!$B$1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differencing!$B$2:$B$119</c:f>
              <c:numCache>
                <c:formatCode>General</c:formatCode>
                <c:ptCount val="118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  <c:pt idx="24">
                  <c:v>74</c:v>
                </c:pt>
                <c:pt idx="25">
                  <c:v>62</c:v>
                </c:pt>
                <c:pt idx="26">
                  <c:v>55</c:v>
                </c:pt>
                <c:pt idx="27">
                  <c:v>84</c:v>
                </c:pt>
                <c:pt idx="28">
                  <c:v>94</c:v>
                </c:pt>
                <c:pt idx="29">
                  <c:v>70</c:v>
                </c:pt>
                <c:pt idx="30">
                  <c:v>108</c:v>
                </c:pt>
                <c:pt idx="31">
                  <c:v>139</c:v>
                </c:pt>
                <c:pt idx="32">
                  <c:v>120</c:v>
                </c:pt>
                <c:pt idx="33">
                  <c:v>97</c:v>
                </c:pt>
                <c:pt idx="34">
                  <c:v>126</c:v>
                </c:pt>
                <c:pt idx="35">
                  <c:v>149</c:v>
                </c:pt>
                <c:pt idx="36">
                  <c:v>158</c:v>
                </c:pt>
                <c:pt idx="37">
                  <c:v>124</c:v>
                </c:pt>
                <c:pt idx="38">
                  <c:v>140</c:v>
                </c:pt>
                <c:pt idx="39">
                  <c:v>109</c:v>
                </c:pt>
                <c:pt idx="40">
                  <c:v>114</c:v>
                </c:pt>
                <c:pt idx="41">
                  <c:v>77</c:v>
                </c:pt>
                <c:pt idx="42">
                  <c:v>120</c:v>
                </c:pt>
                <c:pt idx="43">
                  <c:v>133</c:v>
                </c:pt>
                <c:pt idx="44">
                  <c:v>110</c:v>
                </c:pt>
                <c:pt idx="45">
                  <c:v>92</c:v>
                </c:pt>
                <c:pt idx="46">
                  <c:v>97</c:v>
                </c:pt>
                <c:pt idx="47">
                  <c:v>78</c:v>
                </c:pt>
                <c:pt idx="48">
                  <c:v>99</c:v>
                </c:pt>
                <c:pt idx="49">
                  <c:v>107</c:v>
                </c:pt>
                <c:pt idx="50">
                  <c:v>112</c:v>
                </c:pt>
                <c:pt idx="51">
                  <c:v>90</c:v>
                </c:pt>
                <c:pt idx="52">
                  <c:v>98</c:v>
                </c:pt>
                <c:pt idx="53">
                  <c:v>125</c:v>
                </c:pt>
                <c:pt idx="54">
                  <c:v>155</c:v>
                </c:pt>
                <c:pt idx="55">
                  <c:v>190</c:v>
                </c:pt>
                <c:pt idx="56">
                  <c:v>236</c:v>
                </c:pt>
                <c:pt idx="57">
                  <c:v>189</c:v>
                </c:pt>
                <c:pt idx="58">
                  <c:v>174</c:v>
                </c:pt>
                <c:pt idx="59">
                  <c:v>178</c:v>
                </c:pt>
                <c:pt idx="60">
                  <c:v>136</c:v>
                </c:pt>
                <c:pt idx="61">
                  <c:v>161</c:v>
                </c:pt>
                <c:pt idx="62">
                  <c:v>171</c:v>
                </c:pt>
                <c:pt idx="63">
                  <c:v>149</c:v>
                </c:pt>
                <c:pt idx="64">
                  <c:v>184</c:v>
                </c:pt>
                <c:pt idx="65">
                  <c:v>155</c:v>
                </c:pt>
                <c:pt idx="66">
                  <c:v>276</c:v>
                </c:pt>
                <c:pt idx="67">
                  <c:v>224</c:v>
                </c:pt>
                <c:pt idx="68">
                  <c:v>213</c:v>
                </c:pt>
                <c:pt idx="69">
                  <c:v>279</c:v>
                </c:pt>
                <c:pt idx="70">
                  <c:v>268</c:v>
                </c:pt>
                <c:pt idx="71">
                  <c:v>287</c:v>
                </c:pt>
                <c:pt idx="72">
                  <c:v>238</c:v>
                </c:pt>
                <c:pt idx="73">
                  <c:v>213</c:v>
                </c:pt>
                <c:pt idx="74">
                  <c:v>257</c:v>
                </c:pt>
                <c:pt idx="75">
                  <c:v>293</c:v>
                </c:pt>
                <c:pt idx="76">
                  <c:v>212</c:v>
                </c:pt>
                <c:pt idx="77">
                  <c:v>246</c:v>
                </c:pt>
                <c:pt idx="78">
                  <c:v>353</c:v>
                </c:pt>
                <c:pt idx="79">
                  <c:v>339</c:v>
                </c:pt>
                <c:pt idx="80">
                  <c:v>308</c:v>
                </c:pt>
                <c:pt idx="81">
                  <c:v>247</c:v>
                </c:pt>
                <c:pt idx="82">
                  <c:v>257</c:v>
                </c:pt>
                <c:pt idx="83">
                  <c:v>322</c:v>
                </c:pt>
                <c:pt idx="84">
                  <c:v>298</c:v>
                </c:pt>
                <c:pt idx="85">
                  <c:v>273</c:v>
                </c:pt>
                <c:pt idx="86">
                  <c:v>312</c:v>
                </c:pt>
                <c:pt idx="87">
                  <c:v>249</c:v>
                </c:pt>
                <c:pt idx="88">
                  <c:v>286</c:v>
                </c:pt>
                <c:pt idx="89">
                  <c:v>279</c:v>
                </c:pt>
                <c:pt idx="90">
                  <c:v>309</c:v>
                </c:pt>
                <c:pt idx="91">
                  <c:v>401</c:v>
                </c:pt>
                <c:pt idx="92">
                  <c:v>309</c:v>
                </c:pt>
                <c:pt idx="93">
                  <c:v>328</c:v>
                </c:pt>
                <c:pt idx="94">
                  <c:v>353</c:v>
                </c:pt>
                <c:pt idx="95">
                  <c:v>354</c:v>
                </c:pt>
                <c:pt idx="96">
                  <c:v>327</c:v>
                </c:pt>
                <c:pt idx="97">
                  <c:v>324</c:v>
                </c:pt>
                <c:pt idx="98">
                  <c:v>285</c:v>
                </c:pt>
                <c:pt idx="99">
                  <c:v>243</c:v>
                </c:pt>
                <c:pt idx="100">
                  <c:v>241</c:v>
                </c:pt>
                <c:pt idx="101">
                  <c:v>287</c:v>
                </c:pt>
                <c:pt idx="102">
                  <c:v>355</c:v>
                </c:pt>
                <c:pt idx="103">
                  <c:v>460</c:v>
                </c:pt>
                <c:pt idx="104">
                  <c:v>364</c:v>
                </c:pt>
                <c:pt idx="105">
                  <c:v>487</c:v>
                </c:pt>
                <c:pt idx="106">
                  <c:v>452</c:v>
                </c:pt>
                <c:pt idx="107">
                  <c:v>391</c:v>
                </c:pt>
                <c:pt idx="108">
                  <c:v>500</c:v>
                </c:pt>
                <c:pt idx="109">
                  <c:v>451</c:v>
                </c:pt>
                <c:pt idx="110">
                  <c:v>375</c:v>
                </c:pt>
                <c:pt idx="111">
                  <c:v>372</c:v>
                </c:pt>
                <c:pt idx="112">
                  <c:v>302</c:v>
                </c:pt>
                <c:pt idx="113">
                  <c:v>316</c:v>
                </c:pt>
                <c:pt idx="114">
                  <c:v>398</c:v>
                </c:pt>
                <c:pt idx="115">
                  <c:v>394</c:v>
                </c:pt>
                <c:pt idx="116">
                  <c:v>431</c:v>
                </c:pt>
                <c:pt idx="117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0-0349-872D-9D08DCBA0DA0}"/>
            </c:ext>
          </c:extLst>
        </c:ser>
        <c:ser>
          <c:idx val="1"/>
          <c:order val="1"/>
          <c:tx>
            <c:strRef>
              <c:f>differencing!$C$1</c:f>
              <c:strCache>
                <c:ptCount val="1"/>
                <c:pt idx="0">
                  <c:v>First Difference</c:v>
                </c:pt>
              </c:strCache>
            </c:strRef>
          </c:tx>
          <c:marker>
            <c:symbol val="none"/>
          </c:marker>
          <c:val>
            <c:numRef>
              <c:f>differencing!$C$2:$C$119</c:f>
              <c:numCache>
                <c:formatCode>General</c:formatCode>
                <c:ptCount val="118"/>
                <c:pt idx="1">
                  <c:v>-2</c:v>
                </c:pt>
                <c:pt idx="2">
                  <c:v>11</c:v>
                </c:pt>
                <c:pt idx="3">
                  <c:v>-10</c:v>
                </c:pt>
                <c:pt idx="4">
                  <c:v>3</c:v>
                </c:pt>
                <c:pt idx="5">
                  <c:v>-5</c:v>
                </c:pt>
                <c:pt idx="6">
                  <c:v>6</c:v>
                </c:pt>
                <c:pt idx="7">
                  <c:v>-9</c:v>
                </c:pt>
                <c:pt idx="8">
                  <c:v>4</c:v>
                </c:pt>
                <c:pt idx="9">
                  <c:v>-4</c:v>
                </c:pt>
                <c:pt idx="10">
                  <c:v>-6</c:v>
                </c:pt>
                <c:pt idx="11">
                  <c:v>20</c:v>
                </c:pt>
                <c:pt idx="12">
                  <c:v>1</c:v>
                </c:pt>
                <c:pt idx="13">
                  <c:v>9</c:v>
                </c:pt>
                <c:pt idx="14">
                  <c:v>4</c:v>
                </c:pt>
                <c:pt idx="15">
                  <c:v>-31</c:v>
                </c:pt>
                <c:pt idx="16">
                  <c:v>7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-3</c:v>
                </c:pt>
                <c:pt idx="21">
                  <c:v>-5</c:v>
                </c:pt>
                <c:pt idx="22">
                  <c:v>18</c:v>
                </c:pt>
                <c:pt idx="23">
                  <c:v>20</c:v>
                </c:pt>
                <c:pt idx="24">
                  <c:v>-16</c:v>
                </c:pt>
                <c:pt idx="25">
                  <c:v>-12</c:v>
                </c:pt>
                <c:pt idx="26">
                  <c:v>-7</c:v>
                </c:pt>
                <c:pt idx="27">
                  <c:v>29</c:v>
                </c:pt>
                <c:pt idx="28">
                  <c:v>10</c:v>
                </c:pt>
                <c:pt idx="29">
                  <c:v>-24</c:v>
                </c:pt>
                <c:pt idx="30">
                  <c:v>38</c:v>
                </c:pt>
                <c:pt idx="31">
                  <c:v>31</c:v>
                </c:pt>
                <c:pt idx="32">
                  <c:v>-19</c:v>
                </c:pt>
                <c:pt idx="33">
                  <c:v>-23</c:v>
                </c:pt>
                <c:pt idx="34">
                  <c:v>29</c:v>
                </c:pt>
                <c:pt idx="35">
                  <c:v>23</c:v>
                </c:pt>
                <c:pt idx="36">
                  <c:v>9</c:v>
                </c:pt>
                <c:pt idx="37">
                  <c:v>-34</c:v>
                </c:pt>
                <c:pt idx="38">
                  <c:v>16</c:v>
                </c:pt>
                <c:pt idx="39">
                  <c:v>-31</c:v>
                </c:pt>
                <c:pt idx="40">
                  <c:v>5</c:v>
                </c:pt>
                <c:pt idx="41">
                  <c:v>-37</c:v>
                </c:pt>
                <c:pt idx="42">
                  <c:v>43</c:v>
                </c:pt>
                <c:pt idx="43">
                  <c:v>13</c:v>
                </c:pt>
                <c:pt idx="44">
                  <c:v>-23</c:v>
                </c:pt>
                <c:pt idx="45">
                  <c:v>-18</c:v>
                </c:pt>
                <c:pt idx="46">
                  <c:v>5</c:v>
                </c:pt>
                <c:pt idx="47">
                  <c:v>-19</c:v>
                </c:pt>
                <c:pt idx="48">
                  <c:v>21</c:v>
                </c:pt>
                <c:pt idx="49">
                  <c:v>8</c:v>
                </c:pt>
                <c:pt idx="50">
                  <c:v>5</c:v>
                </c:pt>
                <c:pt idx="51">
                  <c:v>-22</c:v>
                </c:pt>
                <c:pt idx="52">
                  <c:v>8</c:v>
                </c:pt>
                <c:pt idx="53">
                  <c:v>27</c:v>
                </c:pt>
                <c:pt idx="54">
                  <c:v>30</c:v>
                </c:pt>
                <c:pt idx="55">
                  <c:v>35</c:v>
                </c:pt>
                <c:pt idx="56">
                  <c:v>46</c:v>
                </c:pt>
                <c:pt idx="57">
                  <c:v>-47</c:v>
                </c:pt>
                <c:pt idx="58">
                  <c:v>-15</c:v>
                </c:pt>
                <c:pt idx="59">
                  <c:v>4</c:v>
                </c:pt>
                <c:pt idx="60">
                  <c:v>-42</c:v>
                </c:pt>
                <c:pt idx="61">
                  <c:v>25</c:v>
                </c:pt>
                <c:pt idx="62">
                  <c:v>10</c:v>
                </c:pt>
                <c:pt idx="63">
                  <c:v>-22</c:v>
                </c:pt>
                <c:pt idx="64">
                  <c:v>35</c:v>
                </c:pt>
                <c:pt idx="65">
                  <c:v>-29</c:v>
                </c:pt>
                <c:pt idx="66">
                  <c:v>121</c:v>
                </c:pt>
                <c:pt idx="67">
                  <c:v>-52</c:v>
                </c:pt>
                <c:pt idx="68">
                  <c:v>-11</c:v>
                </c:pt>
                <c:pt idx="69">
                  <c:v>66</c:v>
                </c:pt>
                <c:pt idx="70">
                  <c:v>-11</c:v>
                </c:pt>
                <c:pt idx="71">
                  <c:v>19</c:v>
                </c:pt>
                <c:pt idx="72">
                  <c:v>-49</c:v>
                </c:pt>
                <c:pt idx="73">
                  <c:v>-25</c:v>
                </c:pt>
                <c:pt idx="74">
                  <c:v>44</c:v>
                </c:pt>
                <c:pt idx="75">
                  <c:v>36</c:v>
                </c:pt>
                <c:pt idx="76">
                  <c:v>-81</c:v>
                </c:pt>
                <c:pt idx="77">
                  <c:v>34</c:v>
                </c:pt>
                <c:pt idx="78">
                  <c:v>107</c:v>
                </c:pt>
                <c:pt idx="79">
                  <c:v>-14</c:v>
                </c:pt>
                <c:pt idx="80">
                  <c:v>-31</c:v>
                </c:pt>
                <c:pt idx="81">
                  <c:v>-61</c:v>
                </c:pt>
                <c:pt idx="82">
                  <c:v>10</c:v>
                </c:pt>
                <c:pt idx="83">
                  <c:v>65</c:v>
                </c:pt>
                <c:pt idx="84">
                  <c:v>-24</c:v>
                </c:pt>
                <c:pt idx="85">
                  <c:v>-25</c:v>
                </c:pt>
                <c:pt idx="86">
                  <c:v>39</c:v>
                </c:pt>
                <c:pt idx="87">
                  <c:v>-63</c:v>
                </c:pt>
                <c:pt idx="88">
                  <c:v>37</c:v>
                </c:pt>
                <c:pt idx="89">
                  <c:v>-7</c:v>
                </c:pt>
                <c:pt idx="90">
                  <c:v>30</c:v>
                </c:pt>
                <c:pt idx="91">
                  <c:v>92</c:v>
                </c:pt>
                <c:pt idx="92">
                  <c:v>-92</c:v>
                </c:pt>
                <c:pt idx="93">
                  <c:v>19</c:v>
                </c:pt>
                <c:pt idx="94">
                  <c:v>25</c:v>
                </c:pt>
                <c:pt idx="95">
                  <c:v>1</c:v>
                </c:pt>
                <c:pt idx="96">
                  <c:v>-27</c:v>
                </c:pt>
                <c:pt idx="97">
                  <c:v>-3</c:v>
                </c:pt>
                <c:pt idx="98">
                  <c:v>-39</c:v>
                </c:pt>
                <c:pt idx="99">
                  <c:v>-42</c:v>
                </c:pt>
                <c:pt idx="100">
                  <c:v>-2</c:v>
                </c:pt>
                <c:pt idx="101">
                  <c:v>46</c:v>
                </c:pt>
                <c:pt idx="102">
                  <c:v>68</c:v>
                </c:pt>
                <c:pt idx="103">
                  <c:v>105</c:v>
                </c:pt>
                <c:pt idx="104">
                  <c:v>-96</c:v>
                </c:pt>
                <c:pt idx="105">
                  <c:v>123</c:v>
                </c:pt>
                <c:pt idx="106">
                  <c:v>-35</c:v>
                </c:pt>
                <c:pt idx="107">
                  <c:v>-61</c:v>
                </c:pt>
                <c:pt idx="108">
                  <c:v>109</c:v>
                </c:pt>
                <c:pt idx="109">
                  <c:v>-49</c:v>
                </c:pt>
                <c:pt idx="110">
                  <c:v>-76</c:v>
                </c:pt>
                <c:pt idx="111">
                  <c:v>-3</c:v>
                </c:pt>
                <c:pt idx="112">
                  <c:v>-70</c:v>
                </c:pt>
                <c:pt idx="113">
                  <c:v>14</c:v>
                </c:pt>
                <c:pt idx="114">
                  <c:v>82</c:v>
                </c:pt>
                <c:pt idx="115">
                  <c:v>-4</c:v>
                </c:pt>
                <c:pt idx="116">
                  <c:v>37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0-0349-872D-9D08DCBA0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9885784"/>
        <c:axId val="-2119854856"/>
      </c:lineChart>
      <c:catAx>
        <c:axId val="-211988578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9854856"/>
        <c:crosses val="autoZero"/>
        <c:auto val="1"/>
        <c:lblAlgn val="ctr"/>
        <c:lblOffset val="100"/>
        <c:noMultiLvlLbl val="0"/>
      </c:catAx>
      <c:valAx>
        <c:axId val="-2119854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19885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differencing!$B$1</c:f>
              <c:strCache>
                <c:ptCount val="1"/>
                <c:pt idx="0">
                  <c:v>Data</c:v>
                </c:pt>
              </c:strCache>
            </c:strRef>
          </c:tx>
          <c:marker>
            <c:symbol val="none"/>
          </c:marker>
          <c:val>
            <c:numRef>
              <c:f>differencing!$B$2:$B$119</c:f>
              <c:numCache>
                <c:formatCode>General</c:formatCode>
                <c:ptCount val="118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  <c:pt idx="24">
                  <c:v>74</c:v>
                </c:pt>
                <c:pt idx="25">
                  <c:v>62</c:v>
                </c:pt>
                <c:pt idx="26">
                  <c:v>55</c:v>
                </c:pt>
                <c:pt idx="27">
                  <c:v>84</c:v>
                </c:pt>
                <c:pt idx="28">
                  <c:v>94</c:v>
                </c:pt>
                <c:pt idx="29">
                  <c:v>70</c:v>
                </c:pt>
                <c:pt idx="30">
                  <c:v>108</c:v>
                </c:pt>
                <c:pt idx="31">
                  <c:v>139</c:v>
                </c:pt>
                <c:pt idx="32">
                  <c:v>120</c:v>
                </c:pt>
                <c:pt idx="33">
                  <c:v>97</c:v>
                </c:pt>
                <c:pt idx="34">
                  <c:v>126</c:v>
                </c:pt>
                <c:pt idx="35">
                  <c:v>149</c:v>
                </c:pt>
                <c:pt idx="36">
                  <c:v>158</c:v>
                </c:pt>
                <c:pt idx="37">
                  <c:v>124</c:v>
                </c:pt>
                <c:pt idx="38">
                  <c:v>140</c:v>
                </c:pt>
                <c:pt idx="39">
                  <c:v>109</c:v>
                </c:pt>
                <c:pt idx="40">
                  <c:v>114</c:v>
                </c:pt>
                <c:pt idx="41">
                  <c:v>77</c:v>
                </c:pt>
                <c:pt idx="42">
                  <c:v>120</c:v>
                </c:pt>
                <c:pt idx="43">
                  <c:v>133</c:v>
                </c:pt>
                <c:pt idx="44">
                  <c:v>110</c:v>
                </c:pt>
                <c:pt idx="45">
                  <c:v>92</c:v>
                </c:pt>
                <c:pt idx="46">
                  <c:v>97</c:v>
                </c:pt>
                <c:pt idx="47">
                  <c:v>78</c:v>
                </c:pt>
                <c:pt idx="48">
                  <c:v>99</c:v>
                </c:pt>
                <c:pt idx="49">
                  <c:v>107</c:v>
                </c:pt>
                <c:pt idx="50">
                  <c:v>112</c:v>
                </c:pt>
                <c:pt idx="51">
                  <c:v>90</c:v>
                </c:pt>
                <c:pt idx="52">
                  <c:v>98</c:v>
                </c:pt>
                <c:pt idx="53">
                  <c:v>125</c:v>
                </c:pt>
                <c:pt idx="54">
                  <c:v>155</c:v>
                </c:pt>
                <c:pt idx="55">
                  <c:v>190</c:v>
                </c:pt>
                <c:pt idx="56">
                  <c:v>236</c:v>
                </c:pt>
                <c:pt idx="57">
                  <c:v>189</c:v>
                </c:pt>
                <c:pt idx="58">
                  <c:v>174</c:v>
                </c:pt>
                <c:pt idx="59">
                  <c:v>178</c:v>
                </c:pt>
                <c:pt idx="60">
                  <c:v>136</c:v>
                </c:pt>
                <c:pt idx="61">
                  <c:v>161</c:v>
                </c:pt>
                <c:pt idx="62">
                  <c:v>171</c:v>
                </c:pt>
                <c:pt idx="63">
                  <c:v>149</c:v>
                </c:pt>
                <c:pt idx="64">
                  <c:v>184</c:v>
                </c:pt>
                <c:pt idx="65">
                  <c:v>155</c:v>
                </c:pt>
                <c:pt idx="66">
                  <c:v>276</c:v>
                </c:pt>
                <c:pt idx="67">
                  <c:v>224</c:v>
                </c:pt>
                <c:pt idx="68">
                  <c:v>213</c:v>
                </c:pt>
                <c:pt idx="69">
                  <c:v>279</c:v>
                </c:pt>
                <c:pt idx="70">
                  <c:v>268</c:v>
                </c:pt>
                <c:pt idx="71">
                  <c:v>287</c:v>
                </c:pt>
                <c:pt idx="72">
                  <c:v>238</c:v>
                </c:pt>
                <c:pt idx="73">
                  <c:v>213</c:v>
                </c:pt>
                <c:pt idx="74">
                  <c:v>257</c:v>
                </c:pt>
                <c:pt idx="75">
                  <c:v>293</c:v>
                </c:pt>
                <c:pt idx="76">
                  <c:v>212</c:v>
                </c:pt>
                <c:pt idx="77">
                  <c:v>246</c:v>
                </c:pt>
                <c:pt idx="78">
                  <c:v>353</c:v>
                </c:pt>
                <c:pt idx="79">
                  <c:v>339</c:v>
                </c:pt>
                <c:pt idx="80">
                  <c:v>308</c:v>
                </c:pt>
                <c:pt idx="81">
                  <c:v>247</c:v>
                </c:pt>
                <c:pt idx="82">
                  <c:v>257</c:v>
                </c:pt>
                <c:pt idx="83">
                  <c:v>322</c:v>
                </c:pt>
                <c:pt idx="84">
                  <c:v>298</c:v>
                </c:pt>
                <c:pt idx="85">
                  <c:v>273</c:v>
                </c:pt>
                <c:pt idx="86">
                  <c:v>312</c:v>
                </c:pt>
                <c:pt idx="87">
                  <c:v>249</c:v>
                </c:pt>
                <c:pt idx="88">
                  <c:v>286</c:v>
                </c:pt>
                <c:pt idx="89">
                  <c:v>279</c:v>
                </c:pt>
                <c:pt idx="90">
                  <c:v>309</c:v>
                </c:pt>
                <c:pt idx="91">
                  <c:v>401</c:v>
                </c:pt>
                <c:pt idx="92">
                  <c:v>309</c:v>
                </c:pt>
                <c:pt idx="93">
                  <c:v>328</c:v>
                </c:pt>
                <c:pt idx="94">
                  <c:v>353</c:v>
                </c:pt>
                <c:pt idx="95">
                  <c:v>354</c:v>
                </c:pt>
                <c:pt idx="96">
                  <c:v>327</c:v>
                </c:pt>
                <c:pt idx="97">
                  <c:v>324</c:v>
                </c:pt>
                <c:pt idx="98">
                  <c:v>285</c:v>
                </c:pt>
                <c:pt idx="99">
                  <c:v>243</c:v>
                </c:pt>
                <c:pt idx="100">
                  <c:v>241</c:v>
                </c:pt>
                <c:pt idx="101">
                  <c:v>287</c:v>
                </c:pt>
                <c:pt idx="102">
                  <c:v>355</c:v>
                </c:pt>
                <c:pt idx="103">
                  <c:v>460</c:v>
                </c:pt>
                <c:pt idx="104">
                  <c:v>364</c:v>
                </c:pt>
                <c:pt idx="105">
                  <c:v>487</c:v>
                </c:pt>
                <c:pt idx="106">
                  <c:v>452</c:v>
                </c:pt>
                <c:pt idx="107">
                  <c:v>391</c:v>
                </c:pt>
                <c:pt idx="108">
                  <c:v>500</c:v>
                </c:pt>
                <c:pt idx="109">
                  <c:v>451</c:v>
                </c:pt>
                <c:pt idx="110">
                  <c:v>375</c:v>
                </c:pt>
                <c:pt idx="111">
                  <c:v>372</c:v>
                </c:pt>
                <c:pt idx="112">
                  <c:v>302</c:v>
                </c:pt>
                <c:pt idx="113">
                  <c:v>316</c:v>
                </c:pt>
                <c:pt idx="114">
                  <c:v>398</c:v>
                </c:pt>
                <c:pt idx="115">
                  <c:v>394</c:v>
                </c:pt>
                <c:pt idx="116">
                  <c:v>431</c:v>
                </c:pt>
                <c:pt idx="117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32-D441-8EEC-AC5AF96129FF}"/>
            </c:ext>
          </c:extLst>
        </c:ser>
        <c:ser>
          <c:idx val="1"/>
          <c:order val="1"/>
          <c:tx>
            <c:strRef>
              <c:f>differencing!$C$1</c:f>
              <c:strCache>
                <c:ptCount val="1"/>
                <c:pt idx="0">
                  <c:v>First Difference</c:v>
                </c:pt>
              </c:strCache>
            </c:strRef>
          </c:tx>
          <c:marker>
            <c:symbol val="none"/>
          </c:marker>
          <c:val>
            <c:numRef>
              <c:f>differencing!$C$2:$C$119</c:f>
              <c:numCache>
                <c:formatCode>General</c:formatCode>
                <c:ptCount val="118"/>
                <c:pt idx="1">
                  <c:v>-2</c:v>
                </c:pt>
                <c:pt idx="2">
                  <c:v>11</c:v>
                </c:pt>
                <c:pt idx="3">
                  <c:v>-10</c:v>
                </c:pt>
                <c:pt idx="4">
                  <c:v>3</c:v>
                </c:pt>
                <c:pt idx="5">
                  <c:v>-5</c:v>
                </c:pt>
                <c:pt idx="6">
                  <c:v>6</c:v>
                </c:pt>
                <c:pt idx="7">
                  <c:v>-9</c:v>
                </c:pt>
                <c:pt idx="8">
                  <c:v>4</c:v>
                </c:pt>
                <c:pt idx="9">
                  <c:v>-4</c:v>
                </c:pt>
                <c:pt idx="10">
                  <c:v>-6</c:v>
                </c:pt>
                <c:pt idx="11">
                  <c:v>20</c:v>
                </c:pt>
                <c:pt idx="12">
                  <c:v>1</c:v>
                </c:pt>
                <c:pt idx="13">
                  <c:v>9</c:v>
                </c:pt>
                <c:pt idx="14">
                  <c:v>4</c:v>
                </c:pt>
                <c:pt idx="15">
                  <c:v>-31</c:v>
                </c:pt>
                <c:pt idx="16">
                  <c:v>7</c:v>
                </c:pt>
                <c:pt idx="17">
                  <c:v>8</c:v>
                </c:pt>
                <c:pt idx="18">
                  <c:v>6</c:v>
                </c:pt>
                <c:pt idx="19">
                  <c:v>7</c:v>
                </c:pt>
                <c:pt idx="20">
                  <c:v>-3</c:v>
                </c:pt>
                <c:pt idx="21">
                  <c:v>-5</c:v>
                </c:pt>
                <c:pt idx="22">
                  <c:v>18</c:v>
                </c:pt>
                <c:pt idx="23">
                  <c:v>20</c:v>
                </c:pt>
                <c:pt idx="24">
                  <c:v>-16</c:v>
                </c:pt>
                <c:pt idx="25">
                  <c:v>-12</c:v>
                </c:pt>
                <c:pt idx="26">
                  <c:v>-7</c:v>
                </c:pt>
                <c:pt idx="27">
                  <c:v>29</c:v>
                </c:pt>
                <c:pt idx="28">
                  <c:v>10</c:v>
                </c:pt>
                <c:pt idx="29">
                  <c:v>-24</c:v>
                </c:pt>
                <c:pt idx="30">
                  <c:v>38</c:v>
                </c:pt>
                <c:pt idx="31">
                  <c:v>31</c:v>
                </c:pt>
                <c:pt idx="32">
                  <c:v>-19</c:v>
                </c:pt>
                <c:pt idx="33">
                  <c:v>-23</c:v>
                </c:pt>
                <c:pt idx="34">
                  <c:v>29</c:v>
                </c:pt>
                <c:pt idx="35">
                  <c:v>23</c:v>
                </c:pt>
                <c:pt idx="36">
                  <c:v>9</c:v>
                </c:pt>
                <c:pt idx="37">
                  <c:v>-34</c:v>
                </c:pt>
                <c:pt idx="38">
                  <c:v>16</c:v>
                </c:pt>
                <c:pt idx="39">
                  <c:v>-31</c:v>
                </c:pt>
                <c:pt idx="40">
                  <c:v>5</c:v>
                </c:pt>
                <c:pt idx="41">
                  <c:v>-37</c:v>
                </c:pt>
                <c:pt idx="42">
                  <c:v>43</c:v>
                </c:pt>
                <c:pt idx="43">
                  <c:v>13</c:v>
                </c:pt>
                <c:pt idx="44">
                  <c:v>-23</c:v>
                </c:pt>
                <c:pt idx="45">
                  <c:v>-18</c:v>
                </c:pt>
                <c:pt idx="46">
                  <c:v>5</c:v>
                </c:pt>
                <c:pt idx="47">
                  <c:v>-19</c:v>
                </c:pt>
                <c:pt idx="48">
                  <c:v>21</c:v>
                </c:pt>
                <c:pt idx="49">
                  <c:v>8</c:v>
                </c:pt>
                <c:pt idx="50">
                  <c:v>5</c:v>
                </c:pt>
                <c:pt idx="51">
                  <c:v>-22</c:v>
                </c:pt>
                <c:pt idx="52">
                  <c:v>8</c:v>
                </c:pt>
                <c:pt idx="53">
                  <c:v>27</c:v>
                </c:pt>
                <c:pt idx="54">
                  <c:v>30</c:v>
                </c:pt>
                <c:pt idx="55">
                  <c:v>35</c:v>
                </c:pt>
                <c:pt idx="56">
                  <c:v>46</c:v>
                </c:pt>
                <c:pt idx="57">
                  <c:v>-47</c:v>
                </c:pt>
                <c:pt idx="58">
                  <c:v>-15</c:v>
                </c:pt>
                <c:pt idx="59">
                  <c:v>4</c:v>
                </c:pt>
                <c:pt idx="60">
                  <c:v>-42</c:v>
                </c:pt>
                <c:pt idx="61">
                  <c:v>25</c:v>
                </c:pt>
                <c:pt idx="62">
                  <c:v>10</c:v>
                </c:pt>
                <c:pt idx="63">
                  <c:v>-22</c:v>
                </c:pt>
                <c:pt idx="64">
                  <c:v>35</c:v>
                </c:pt>
                <c:pt idx="65">
                  <c:v>-29</c:v>
                </c:pt>
                <c:pt idx="66">
                  <c:v>121</c:v>
                </c:pt>
                <c:pt idx="67">
                  <c:v>-52</c:v>
                </c:pt>
                <c:pt idx="68">
                  <c:v>-11</c:v>
                </c:pt>
                <c:pt idx="69">
                  <c:v>66</c:v>
                </c:pt>
                <c:pt idx="70">
                  <c:v>-11</c:v>
                </c:pt>
                <c:pt idx="71">
                  <c:v>19</c:v>
                </c:pt>
                <c:pt idx="72">
                  <c:v>-49</c:v>
                </c:pt>
                <c:pt idx="73">
                  <c:v>-25</c:v>
                </c:pt>
                <c:pt idx="74">
                  <c:v>44</c:v>
                </c:pt>
                <c:pt idx="75">
                  <c:v>36</c:v>
                </c:pt>
                <c:pt idx="76">
                  <c:v>-81</c:v>
                </c:pt>
                <c:pt idx="77">
                  <c:v>34</c:v>
                </c:pt>
                <c:pt idx="78">
                  <c:v>107</c:v>
                </c:pt>
                <c:pt idx="79">
                  <c:v>-14</c:v>
                </c:pt>
                <c:pt idx="80">
                  <c:v>-31</c:v>
                </c:pt>
                <c:pt idx="81">
                  <c:v>-61</c:v>
                </c:pt>
                <c:pt idx="82">
                  <c:v>10</c:v>
                </c:pt>
                <c:pt idx="83">
                  <c:v>65</c:v>
                </c:pt>
                <c:pt idx="84">
                  <c:v>-24</c:v>
                </c:pt>
                <c:pt idx="85">
                  <c:v>-25</c:v>
                </c:pt>
                <c:pt idx="86">
                  <c:v>39</c:v>
                </c:pt>
                <c:pt idx="87">
                  <c:v>-63</c:v>
                </c:pt>
                <c:pt idx="88">
                  <c:v>37</c:v>
                </c:pt>
                <c:pt idx="89">
                  <c:v>-7</c:v>
                </c:pt>
                <c:pt idx="90">
                  <c:v>30</c:v>
                </c:pt>
                <c:pt idx="91">
                  <c:v>92</c:v>
                </c:pt>
                <c:pt idx="92">
                  <c:v>-92</c:v>
                </c:pt>
                <c:pt idx="93">
                  <c:v>19</c:v>
                </c:pt>
                <c:pt idx="94">
                  <c:v>25</c:v>
                </c:pt>
                <c:pt idx="95">
                  <c:v>1</c:v>
                </c:pt>
                <c:pt idx="96">
                  <c:v>-27</c:v>
                </c:pt>
                <c:pt idx="97">
                  <c:v>-3</c:v>
                </c:pt>
                <c:pt idx="98">
                  <c:v>-39</c:v>
                </c:pt>
                <c:pt idx="99">
                  <c:v>-42</c:v>
                </c:pt>
                <c:pt idx="100">
                  <c:v>-2</c:v>
                </c:pt>
                <c:pt idx="101">
                  <c:v>46</c:v>
                </c:pt>
                <c:pt idx="102">
                  <c:v>68</c:v>
                </c:pt>
                <c:pt idx="103">
                  <c:v>105</c:v>
                </c:pt>
                <c:pt idx="104">
                  <c:v>-96</c:v>
                </c:pt>
                <c:pt idx="105">
                  <c:v>123</c:v>
                </c:pt>
                <c:pt idx="106">
                  <c:v>-35</c:v>
                </c:pt>
                <c:pt idx="107">
                  <c:v>-61</c:v>
                </c:pt>
                <c:pt idx="108">
                  <c:v>109</c:v>
                </c:pt>
                <c:pt idx="109">
                  <c:v>-49</c:v>
                </c:pt>
                <c:pt idx="110">
                  <c:v>-76</c:v>
                </c:pt>
                <c:pt idx="111">
                  <c:v>-3</c:v>
                </c:pt>
                <c:pt idx="112">
                  <c:v>-70</c:v>
                </c:pt>
                <c:pt idx="113">
                  <c:v>14</c:v>
                </c:pt>
                <c:pt idx="114">
                  <c:v>82</c:v>
                </c:pt>
                <c:pt idx="115">
                  <c:v>-4</c:v>
                </c:pt>
                <c:pt idx="116">
                  <c:v>37</c:v>
                </c:pt>
                <c:pt idx="1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32-D441-8EEC-AC5AF96129FF}"/>
            </c:ext>
          </c:extLst>
        </c:ser>
        <c:ser>
          <c:idx val="2"/>
          <c:order val="2"/>
          <c:tx>
            <c:strRef>
              <c:f>differencing!$D$1</c:f>
              <c:strCache>
                <c:ptCount val="1"/>
                <c:pt idx="0">
                  <c:v>2nd difference</c:v>
                </c:pt>
              </c:strCache>
            </c:strRef>
          </c:tx>
          <c:marker>
            <c:symbol val="none"/>
          </c:marker>
          <c:val>
            <c:numRef>
              <c:f>differencing!$D$2:$D$119</c:f>
              <c:numCache>
                <c:formatCode>General</c:formatCode>
                <c:ptCount val="118"/>
                <c:pt idx="2">
                  <c:v>13</c:v>
                </c:pt>
                <c:pt idx="3">
                  <c:v>-21</c:v>
                </c:pt>
                <c:pt idx="4">
                  <c:v>13</c:v>
                </c:pt>
                <c:pt idx="5">
                  <c:v>-8</c:v>
                </c:pt>
                <c:pt idx="6">
                  <c:v>11</c:v>
                </c:pt>
                <c:pt idx="7">
                  <c:v>-15</c:v>
                </c:pt>
                <c:pt idx="8">
                  <c:v>13</c:v>
                </c:pt>
                <c:pt idx="9">
                  <c:v>-8</c:v>
                </c:pt>
                <c:pt idx="10">
                  <c:v>-2</c:v>
                </c:pt>
                <c:pt idx="11">
                  <c:v>26</c:v>
                </c:pt>
                <c:pt idx="12">
                  <c:v>-19</c:v>
                </c:pt>
                <c:pt idx="13">
                  <c:v>8</c:v>
                </c:pt>
                <c:pt idx="14">
                  <c:v>-5</c:v>
                </c:pt>
                <c:pt idx="15">
                  <c:v>-35</c:v>
                </c:pt>
                <c:pt idx="16">
                  <c:v>38</c:v>
                </c:pt>
                <c:pt idx="17">
                  <c:v>1</c:v>
                </c:pt>
                <c:pt idx="18">
                  <c:v>-2</c:v>
                </c:pt>
                <c:pt idx="19">
                  <c:v>1</c:v>
                </c:pt>
                <c:pt idx="20">
                  <c:v>-10</c:v>
                </c:pt>
                <c:pt idx="21">
                  <c:v>-2</c:v>
                </c:pt>
                <c:pt idx="22">
                  <c:v>23</c:v>
                </c:pt>
                <c:pt idx="23">
                  <c:v>2</c:v>
                </c:pt>
                <c:pt idx="24">
                  <c:v>-36</c:v>
                </c:pt>
                <c:pt idx="25">
                  <c:v>4</c:v>
                </c:pt>
                <c:pt idx="26">
                  <c:v>5</c:v>
                </c:pt>
                <c:pt idx="27">
                  <c:v>36</c:v>
                </c:pt>
                <c:pt idx="28">
                  <c:v>-19</c:v>
                </c:pt>
                <c:pt idx="29">
                  <c:v>-34</c:v>
                </c:pt>
                <c:pt idx="30">
                  <c:v>62</c:v>
                </c:pt>
                <c:pt idx="31">
                  <c:v>-7</c:v>
                </c:pt>
                <c:pt idx="32">
                  <c:v>-50</c:v>
                </c:pt>
                <c:pt idx="33">
                  <c:v>-4</c:v>
                </c:pt>
                <c:pt idx="34">
                  <c:v>52</c:v>
                </c:pt>
                <c:pt idx="35">
                  <c:v>-6</c:v>
                </c:pt>
                <c:pt idx="36">
                  <c:v>-14</c:v>
                </c:pt>
                <c:pt idx="37">
                  <c:v>-43</c:v>
                </c:pt>
                <c:pt idx="38">
                  <c:v>50</c:v>
                </c:pt>
                <c:pt idx="39">
                  <c:v>-47</c:v>
                </c:pt>
                <c:pt idx="40">
                  <c:v>36</c:v>
                </c:pt>
                <c:pt idx="41">
                  <c:v>-42</c:v>
                </c:pt>
                <c:pt idx="42">
                  <c:v>80</c:v>
                </c:pt>
                <c:pt idx="43">
                  <c:v>-30</c:v>
                </c:pt>
                <c:pt idx="44">
                  <c:v>-36</c:v>
                </c:pt>
                <c:pt idx="45">
                  <c:v>5</c:v>
                </c:pt>
                <c:pt idx="46">
                  <c:v>23</c:v>
                </c:pt>
                <c:pt idx="47">
                  <c:v>-24</c:v>
                </c:pt>
                <c:pt idx="48">
                  <c:v>40</c:v>
                </c:pt>
                <c:pt idx="49">
                  <c:v>-13</c:v>
                </c:pt>
                <c:pt idx="50">
                  <c:v>-3</c:v>
                </c:pt>
                <c:pt idx="51">
                  <c:v>-27</c:v>
                </c:pt>
                <c:pt idx="52">
                  <c:v>30</c:v>
                </c:pt>
                <c:pt idx="53">
                  <c:v>19</c:v>
                </c:pt>
                <c:pt idx="54">
                  <c:v>3</c:v>
                </c:pt>
                <c:pt idx="55">
                  <c:v>5</c:v>
                </c:pt>
                <c:pt idx="56">
                  <c:v>11</c:v>
                </c:pt>
                <c:pt idx="57">
                  <c:v>-93</c:v>
                </c:pt>
                <c:pt idx="58">
                  <c:v>32</c:v>
                </c:pt>
                <c:pt idx="59">
                  <c:v>19</c:v>
                </c:pt>
                <c:pt idx="60">
                  <c:v>-46</c:v>
                </c:pt>
                <c:pt idx="61">
                  <c:v>67</c:v>
                </c:pt>
                <c:pt idx="62">
                  <c:v>-15</c:v>
                </c:pt>
                <c:pt idx="63">
                  <c:v>-32</c:v>
                </c:pt>
                <c:pt idx="64">
                  <c:v>57</c:v>
                </c:pt>
                <c:pt idx="65">
                  <c:v>-64</c:v>
                </c:pt>
                <c:pt idx="66">
                  <c:v>150</c:v>
                </c:pt>
                <c:pt idx="67">
                  <c:v>-173</c:v>
                </c:pt>
                <c:pt idx="68">
                  <c:v>41</c:v>
                </c:pt>
                <c:pt idx="69">
                  <c:v>77</c:v>
                </c:pt>
                <c:pt idx="70">
                  <c:v>-77</c:v>
                </c:pt>
                <c:pt idx="71">
                  <c:v>30</c:v>
                </c:pt>
                <c:pt idx="72">
                  <c:v>-68</c:v>
                </c:pt>
                <c:pt idx="73">
                  <c:v>24</c:v>
                </c:pt>
                <c:pt idx="74">
                  <c:v>69</c:v>
                </c:pt>
                <c:pt idx="75">
                  <c:v>-8</c:v>
                </c:pt>
                <c:pt idx="76">
                  <c:v>-117</c:v>
                </c:pt>
                <c:pt idx="77">
                  <c:v>115</c:v>
                </c:pt>
                <c:pt idx="78">
                  <c:v>73</c:v>
                </c:pt>
                <c:pt idx="79">
                  <c:v>-121</c:v>
                </c:pt>
                <c:pt idx="80">
                  <c:v>-17</c:v>
                </c:pt>
                <c:pt idx="81">
                  <c:v>-30</c:v>
                </c:pt>
                <c:pt idx="82">
                  <c:v>71</c:v>
                </c:pt>
                <c:pt idx="83">
                  <c:v>55</c:v>
                </c:pt>
                <c:pt idx="84">
                  <c:v>-89</c:v>
                </c:pt>
                <c:pt idx="85">
                  <c:v>-1</c:v>
                </c:pt>
                <c:pt idx="86">
                  <c:v>64</c:v>
                </c:pt>
                <c:pt idx="87">
                  <c:v>-102</c:v>
                </c:pt>
                <c:pt idx="88">
                  <c:v>100</c:v>
                </c:pt>
                <c:pt idx="89">
                  <c:v>-44</c:v>
                </c:pt>
                <c:pt idx="90">
                  <c:v>37</c:v>
                </c:pt>
                <c:pt idx="91">
                  <c:v>62</c:v>
                </c:pt>
                <c:pt idx="92">
                  <c:v>-184</c:v>
                </c:pt>
                <c:pt idx="93">
                  <c:v>111</c:v>
                </c:pt>
                <c:pt idx="94">
                  <c:v>6</c:v>
                </c:pt>
                <c:pt idx="95">
                  <c:v>-24</c:v>
                </c:pt>
                <c:pt idx="96">
                  <c:v>-28</c:v>
                </c:pt>
                <c:pt idx="97">
                  <c:v>24</c:v>
                </c:pt>
                <c:pt idx="98">
                  <c:v>-36</c:v>
                </c:pt>
                <c:pt idx="99">
                  <c:v>-3</c:v>
                </c:pt>
                <c:pt idx="100">
                  <c:v>40</c:v>
                </c:pt>
                <c:pt idx="101">
                  <c:v>48</c:v>
                </c:pt>
                <c:pt idx="102">
                  <c:v>22</c:v>
                </c:pt>
                <c:pt idx="103">
                  <c:v>37</c:v>
                </c:pt>
                <c:pt idx="104">
                  <c:v>-201</c:v>
                </c:pt>
                <c:pt idx="105">
                  <c:v>219</c:v>
                </c:pt>
                <c:pt idx="106">
                  <c:v>-158</c:v>
                </c:pt>
                <c:pt idx="107">
                  <c:v>-26</c:v>
                </c:pt>
                <c:pt idx="108">
                  <c:v>170</c:v>
                </c:pt>
                <c:pt idx="109">
                  <c:v>-158</c:v>
                </c:pt>
                <c:pt idx="110">
                  <c:v>-27</c:v>
                </c:pt>
                <c:pt idx="111">
                  <c:v>73</c:v>
                </c:pt>
                <c:pt idx="112">
                  <c:v>-67</c:v>
                </c:pt>
                <c:pt idx="113">
                  <c:v>84</c:v>
                </c:pt>
                <c:pt idx="114">
                  <c:v>68</c:v>
                </c:pt>
                <c:pt idx="115">
                  <c:v>-86</c:v>
                </c:pt>
                <c:pt idx="116">
                  <c:v>41</c:v>
                </c:pt>
                <c:pt idx="117">
                  <c:v>-37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32-D441-8EEC-AC5AF9612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70329704"/>
        <c:axId val="-2070326728"/>
      </c:lineChart>
      <c:catAx>
        <c:axId val="-207032970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70326728"/>
        <c:crosses val="autoZero"/>
        <c:auto val="1"/>
        <c:lblAlgn val="ctr"/>
        <c:lblOffset val="100"/>
        <c:noMultiLvlLbl val="0"/>
      </c:catAx>
      <c:valAx>
        <c:axId val="-2070326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70329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024600878470051E-2"/>
          <c:y val="1.7769423558897251E-2"/>
          <c:w val="0.93120575899688385"/>
          <c:h val="0.79157046158703848"/>
        </c:manualLayout>
      </c:layout>
      <c:lineChart>
        <c:grouping val="standard"/>
        <c:varyColors val="0"/>
        <c:ser>
          <c:idx val="0"/>
          <c:order val="0"/>
          <c:tx>
            <c:strRef>
              <c:f>'Holt Winters'!$B$1</c:f>
              <c:strCache>
                <c:ptCount val="1"/>
                <c:pt idx="0">
                  <c:v>Data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'Holt Winters'!$B$2:$B$119</c:f>
              <c:numCache>
                <c:formatCode>General</c:formatCode>
                <c:ptCount val="118"/>
                <c:pt idx="0">
                  <c:v>41</c:v>
                </c:pt>
                <c:pt idx="1">
                  <c:v>39</c:v>
                </c:pt>
                <c:pt idx="2">
                  <c:v>50</c:v>
                </c:pt>
                <c:pt idx="3">
                  <c:v>40</c:v>
                </c:pt>
                <c:pt idx="4">
                  <c:v>43</c:v>
                </c:pt>
                <c:pt idx="5">
                  <c:v>38</c:v>
                </c:pt>
                <c:pt idx="6">
                  <c:v>44</c:v>
                </c:pt>
                <c:pt idx="7">
                  <c:v>35</c:v>
                </c:pt>
                <c:pt idx="8">
                  <c:v>39</c:v>
                </c:pt>
                <c:pt idx="9">
                  <c:v>35</c:v>
                </c:pt>
                <c:pt idx="10">
                  <c:v>29</c:v>
                </c:pt>
                <c:pt idx="11">
                  <c:v>49</c:v>
                </c:pt>
                <c:pt idx="12">
                  <c:v>50</c:v>
                </c:pt>
                <c:pt idx="13">
                  <c:v>59</c:v>
                </c:pt>
                <c:pt idx="14">
                  <c:v>63</c:v>
                </c:pt>
                <c:pt idx="15">
                  <c:v>32</c:v>
                </c:pt>
                <c:pt idx="16">
                  <c:v>39</c:v>
                </c:pt>
                <c:pt idx="17">
                  <c:v>47</c:v>
                </c:pt>
                <c:pt idx="18">
                  <c:v>53</c:v>
                </c:pt>
                <c:pt idx="19">
                  <c:v>60</c:v>
                </c:pt>
                <c:pt idx="20">
                  <c:v>57</c:v>
                </c:pt>
                <c:pt idx="21">
                  <c:v>52</c:v>
                </c:pt>
                <c:pt idx="22">
                  <c:v>70</c:v>
                </c:pt>
                <c:pt idx="23">
                  <c:v>90</c:v>
                </c:pt>
                <c:pt idx="24">
                  <c:v>74</c:v>
                </c:pt>
                <c:pt idx="25">
                  <c:v>62</c:v>
                </c:pt>
                <c:pt idx="26">
                  <c:v>55</c:v>
                </c:pt>
                <c:pt idx="27">
                  <c:v>84</c:v>
                </c:pt>
                <c:pt idx="28">
                  <c:v>94</c:v>
                </c:pt>
                <c:pt idx="29">
                  <c:v>70</c:v>
                </c:pt>
                <c:pt idx="30">
                  <c:v>108</c:v>
                </c:pt>
                <c:pt idx="31">
                  <c:v>139</c:v>
                </c:pt>
                <c:pt idx="32">
                  <c:v>120</c:v>
                </c:pt>
                <c:pt idx="33">
                  <c:v>97</c:v>
                </c:pt>
                <c:pt idx="34">
                  <c:v>126</c:v>
                </c:pt>
                <c:pt idx="35">
                  <c:v>149</c:v>
                </c:pt>
                <c:pt idx="36">
                  <c:v>158</c:v>
                </c:pt>
                <c:pt idx="37">
                  <c:v>124</c:v>
                </c:pt>
                <c:pt idx="38">
                  <c:v>140</c:v>
                </c:pt>
                <c:pt idx="39">
                  <c:v>109</c:v>
                </c:pt>
                <c:pt idx="40">
                  <c:v>114</c:v>
                </c:pt>
                <c:pt idx="41">
                  <c:v>77</c:v>
                </c:pt>
                <c:pt idx="42">
                  <c:v>120</c:v>
                </c:pt>
                <c:pt idx="43">
                  <c:v>133</c:v>
                </c:pt>
                <c:pt idx="44">
                  <c:v>110</c:v>
                </c:pt>
                <c:pt idx="45">
                  <c:v>92</c:v>
                </c:pt>
                <c:pt idx="46">
                  <c:v>97</c:v>
                </c:pt>
                <c:pt idx="47">
                  <c:v>78</c:v>
                </c:pt>
                <c:pt idx="48">
                  <c:v>99</c:v>
                </c:pt>
                <c:pt idx="49">
                  <c:v>107</c:v>
                </c:pt>
                <c:pt idx="50">
                  <c:v>112</c:v>
                </c:pt>
                <c:pt idx="51">
                  <c:v>90</c:v>
                </c:pt>
                <c:pt idx="52">
                  <c:v>98</c:v>
                </c:pt>
                <c:pt idx="53">
                  <c:v>125</c:v>
                </c:pt>
                <c:pt idx="54">
                  <c:v>155</c:v>
                </c:pt>
                <c:pt idx="55">
                  <c:v>190</c:v>
                </c:pt>
                <c:pt idx="56">
                  <c:v>236</c:v>
                </c:pt>
                <c:pt idx="57">
                  <c:v>189</c:v>
                </c:pt>
                <c:pt idx="58">
                  <c:v>174</c:v>
                </c:pt>
                <c:pt idx="59">
                  <c:v>178</c:v>
                </c:pt>
                <c:pt idx="60">
                  <c:v>136</c:v>
                </c:pt>
                <c:pt idx="61">
                  <c:v>161</c:v>
                </c:pt>
                <c:pt idx="62">
                  <c:v>171</c:v>
                </c:pt>
                <c:pt idx="63">
                  <c:v>149</c:v>
                </c:pt>
                <c:pt idx="64">
                  <c:v>184</c:v>
                </c:pt>
                <c:pt idx="65">
                  <c:v>155</c:v>
                </c:pt>
                <c:pt idx="66">
                  <c:v>276</c:v>
                </c:pt>
                <c:pt idx="67">
                  <c:v>224</c:v>
                </c:pt>
                <c:pt idx="68">
                  <c:v>213</c:v>
                </c:pt>
                <c:pt idx="69">
                  <c:v>279</c:v>
                </c:pt>
                <c:pt idx="70">
                  <c:v>268</c:v>
                </c:pt>
                <c:pt idx="71">
                  <c:v>287</c:v>
                </c:pt>
                <c:pt idx="72">
                  <c:v>238</c:v>
                </c:pt>
                <c:pt idx="73">
                  <c:v>213</c:v>
                </c:pt>
                <c:pt idx="74">
                  <c:v>257</c:v>
                </c:pt>
                <c:pt idx="75">
                  <c:v>293</c:v>
                </c:pt>
                <c:pt idx="76">
                  <c:v>212</c:v>
                </c:pt>
                <c:pt idx="77">
                  <c:v>246</c:v>
                </c:pt>
                <c:pt idx="78">
                  <c:v>353</c:v>
                </c:pt>
                <c:pt idx="79">
                  <c:v>339</c:v>
                </c:pt>
                <c:pt idx="80">
                  <c:v>308</c:v>
                </c:pt>
                <c:pt idx="81">
                  <c:v>247</c:v>
                </c:pt>
                <c:pt idx="82">
                  <c:v>257</c:v>
                </c:pt>
                <c:pt idx="83">
                  <c:v>322</c:v>
                </c:pt>
                <c:pt idx="84">
                  <c:v>298</c:v>
                </c:pt>
                <c:pt idx="85">
                  <c:v>273</c:v>
                </c:pt>
                <c:pt idx="86">
                  <c:v>312</c:v>
                </c:pt>
                <c:pt idx="87">
                  <c:v>249</c:v>
                </c:pt>
                <c:pt idx="88">
                  <c:v>286</c:v>
                </c:pt>
                <c:pt idx="89">
                  <c:v>279</c:v>
                </c:pt>
                <c:pt idx="90">
                  <c:v>309</c:v>
                </c:pt>
                <c:pt idx="91">
                  <c:v>401</c:v>
                </c:pt>
                <c:pt idx="92">
                  <c:v>309</c:v>
                </c:pt>
                <c:pt idx="93">
                  <c:v>328</c:v>
                </c:pt>
                <c:pt idx="94">
                  <c:v>353</c:v>
                </c:pt>
                <c:pt idx="95">
                  <c:v>354</c:v>
                </c:pt>
                <c:pt idx="96">
                  <c:v>327</c:v>
                </c:pt>
                <c:pt idx="97">
                  <c:v>324</c:v>
                </c:pt>
                <c:pt idx="98">
                  <c:v>285</c:v>
                </c:pt>
                <c:pt idx="99">
                  <c:v>243</c:v>
                </c:pt>
                <c:pt idx="100">
                  <c:v>241</c:v>
                </c:pt>
                <c:pt idx="101">
                  <c:v>287</c:v>
                </c:pt>
                <c:pt idx="102">
                  <c:v>355</c:v>
                </c:pt>
                <c:pt idx="103">
                  <c:v>460</c:v>
                </c:pt>
                <c:pt idx="104">
                  <c:v>364</c:v>
                </c:pt>
                <c:pt idx="105">
                  <c:v>487</c:v>
                </c:pt>
                <c:pt idx="106">
                  <c:v>452</c:v>
                </c:pt>
                <c:pt idx="107">
                  <c:v>391</c:v>
                </c:pt>
                <c:pt idx="108">
                  <c:v>500</c:v>
                </c:pt>
                <c:pt idx="109">
                  <c:v>451</c:v>
                </c:pt>
                <c:pt idx="110">
                  <c:v>375</c:v>
                </c:pt>
                <c:pt idx="111">
                  <c:v>372</c:v>
                </c:pt>
                <c:pt idx="112">
                  <c:v>302</c:v>
                </c:pt>
                <c:pt idx="113">
                  <c:v>316</c:v>
                </c:pt>
                <c:pt idx="114">
                  <c:v>398</c:v>
                </c:pt>
                <c:pt idx="115">
                  <c:v>394</c:v>
                </c:pt>
                <c:pt idx="116">
                  <c:v>431</c:v>
                </c:pt>
                <c:pt idx="117">
                  <c:v>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45-DA4D-A0A8-356464689689}"/>
            </c:ext>
          </c:extLst>
        </c:ser>
        <c:ser>
          <c:idx val="1"/>
          <c:order val="1"/>
          <c:tx>
            <c:strRef>
              <c:f>'Holt Winters'!$C$1</c:f>
              <c:strCache>
                <c:ptCount val="1"/>
                <c:pt idx="0">
                  <c:v>First order smoothing (alpha only)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'Holt Winters'!$C$2:$C$119</c:f>
              <c:numCache>
                <c:formatCode>0.0</c:formatCode>
                <c:ptCount val="118"/>
                <c:pt idx="0" formatCode="General">
                  <c:v>41</c:v>
                </c:pt>
                <c:pt idx="1">
                  <c:v>41</c:v>
                </c:pt>
                <c:pt idx="2">
                  <c:v>40.200000000000003</c:v>
                </c:pt>
                <c:pt idx="3">
                  <c:v>44.120000000000005</c:v>
                </c:pt>
                <c:pt idx="4">
                  <c:v>42.472000000000001</c:v>
                </c:pt>
                <c:pt idx="5">
                  <c:v>42.683199999999999</c:v>
                </c:pt>
                <c:pt idx="6">
                  <c:v>40.809919999999998</c:v>
                </c:pt>
                <c:pt idx="7">
                  <c:v>42.085951999999999</c:v>
                </c:pt>
                <c:pt idx="8">
                  <c:v>39.251571200000001</c:v>
                </c:pt>
                <c:pt idx="9">
                  <c:v>39.150942720000003</c:v>
                </c:pt>
                <c:pt idx="10">
                  <c:v>37.490565631999999</c:v>
                </c:pt>
                <c:pt idx="11">
                  <c:v>34.094339379200001</c:v>
                </c:pt>
                <c:pt idx="12">
                  <c:v>40.056603627520005</c:v>
                </c:pt>
                <c:pt idx="13">
                  <c:v>44.033962176512006</c:v>
                </c:pt>
                <c:pt idx="14">
                  <c:v>50.020377305907203</c:v>
                </c:pt>
                <c:pt idx="15">
                  <c:v>55.212226383544319</c:v>
                </c:pt>
                <c:pt idx="16">
                  <c:v>45.927335830126594</c:v>
                </c:pt>
                <c:pt idx="17">
                  <c:v>43.156401498075958</c:v>
                </c:pt>
                <c:pt idx="18">
                  <c:v>44.693840898845579</c:v>
                </c:pt>
                <c:pt idx="19">
                  <c:v>48.016304539307349</c:v>
                </c:pt>
                <c:pt idx="20">
                  <c:v>52.809782723584405</c:v>
                </c:pt>
                <c:pt idx="21">
                  <c:v>54.485869634150646</c:v>
                </c:pt>
                <c:pt idx="22">
                  <c:v>53.491521780490388</c:v>
                </c:pt>
                <c:pt idx="23">
                  <c:v>60.094913068294233</c:v>
                </c:pt>
                <c:pt idx="24">
                  <c:v>72.056947840976534</c:v>
                </c:pt>
                <c:pt idx="25">
                  <c:v>72.83416870458592</c:v>
                </c:pt>
                <c:pt idx="26">
                  <c:v>68.500501222751552</c:v>
                </c:pt>
                <c:pt idx="27">
                  <c:v>63.100300733650933</c:v>
                </c:pt>
                <c:pt idx="28">
                  <c:v>71.460180440190555</c:v>
                </c:pt>
                <c:pt idx="29">
                  <c:v>80.47610826411433</c:v>
                </c:pt>
                <c:pt idx="30">
                  <c:v>76.285664958468601</c:v>
                </c:pt>
                <c:pt idx="31">
                  <c:v>88.971398975081172</c:v>
                </c:pt>
                <c:pt idx="32">
                  <c:v>108.98283938504871</c:v>
                </c:pt>
                <c:pt idx="33">
                  <c:v>113.38970363102922</c:v>
                </c:pt>
                <c:pt idx="34">
                  <c:v>106.83382217861754</c:v>
                </c:pt>
                <c:pt idx="35">
                  <c:v>114.50029330717052</c:v>
                </c:pt>
                <c:pt idx="36">
                  <c:v>128.30017598430231</c:v>
                </c:pt>
                <c:pt idx="37">
                  <c:v>140.18010559058138</c:v>
                </c:pt>
                <c:pt idx="38">
                  <c:v>133.70806335434884</c:v>
                </c:pt>
                <c:pt idx="39">
                  <c:v>136.2248380126093</c:v>
                </c:pt>
                <c:pt idx="40">
                  <c:v>125.33490280756558</c:v>
                </c:pt>
                <c:pt idx="41">
                  <c:v>120.80094168453934</c:v>
                </c:pt>
                <c:pt idx="42">
                  <c:v>103.28056501072359</c:v>
                </c:pt>
                <c:pt idx="43">
                  <c:v>109.96833900643415</c:v>
                </c:pt>
                <c:pt idx="44">
                  <c:v>119.18100340386049</c:v>
                </c:pt>
                <c:pt idx="45">
                  <c:v>115.50860204231628</c:v>
                </c:pt>
                <c:pt idx="46">
                  <c:v>106.10516122538976</c:v>
                </c:pt>
                <c:pt idx="47">
                  <c:v>102.46309673523386</c:v>
                </c:pt>
                <c:pt idx="48">
                  <c:v>92.677858041140325</c:v>
                </c:pt>
                <c:pt idx="49">
                  <c:v>95.206714824684198</c:v>
                </c:pt>
                <c:pt idx="50">
                  <c:v>99.924028894810519</c:v>
                </c:pt>
                <c:pt idx="51">
                  <c:v>104.75441733688632</c:v>
                </c:pt>
                <c:pt idx="52">
                  <c:v>98.852650402131786</c:v>
                </c:pt>
                <c:pt idx="53">
                  <c:v>98.511590241279066</c:v>
                </c:pt>
                <c:pt idx="54">
                  <c:v>109.10695414476743</c:v>
                </c:pt>
                <c:pt idx="55">
                  <c:v>127.46417248686045</c:v>
                </c:pt>
                <c:pt idx="56">
                  <c:v>152.47850349211626</c:v>
                </c:pt>
                <c:pt idx="57">
                  <c:v>185.88710209526977</c:v>
                </c:pt>
                <c:pt idx="58">
                  <c:v>187.13226125716187</c:v>
                </c:pt>
                <c:pt idx="59">
                  <c:v>181.87935675429713</c:v>
                </c:pt>
                <c:pt idx="60">
                  <c:v>180.32761405257827</c:v>
                </c:pt>
                <c:pt idx="61">
                  <c:v>162.59656843154698</c:v>
                </c:pt>
                <c:pt idx="62">
                  <c:v>161.95794105892821</c:v>
                </c:pt>
                <c:pt idx="63">
                  <c:v>165.57476463535693</c:v>
                </c:pt>
                <c:pt idx="64">
                  <c:v>158.94485878121415</c:v>
                </c:pt>
                <c:pt idx="65">
                  <c:v>168.96691526872848</c:v>
                </c:pt>
                <c:pt idx="66">
                  <c:v>163.38014916123709</c:v>
                </c:pt>
                <c:pt idx="67">
                  <c:v>208.42808949674225</c:v>
                </c:pt>
                <c:pt idx="68">
                  <c:v>214.65685369804535</c:v>
                </c:pt>
                <c:pt idx="69">
                  <c:v>213.99411221882718</c:v>
                </c:pt>
                <c:pt idx="70">
                  <c:v>239.99646733129629</c:v>
                </c:pt>
                <c:pt idx="71">
                  <c:v>251.19788039877778</c:v>
                </c:pt>
                <c:pt idx="72">
                  <c:v>265.51872823926669</c:v>
                </c:pt>
                <c:pt idx="73">
                  <c:v>254.51123694355999</c:v>
                </c:pt>
                <c:pt idx="74">
                  <c:v>237.90674216613598</c:v>
                </c:pt>
                <c:pt idx="75">
                  <c:v>245.54404529968158</c:v>
                </c:pt>
                <c:pt idx="76">
                  <c:v>264.52642717980893</c:v>
                </c:pt>
                <c:pt idx="77">
                  <c:v>243.51585630788537</c:v>
                </c:pt>
                <c:pt idx="78">
                  <c:v>244.50951378473121</c:v>
                </c:pt>
                <c:pt idx="79">
                  <c:v>287.90570827083877</c:v>
                </c:pt>
                <c:pt idx="80">
                  <c:v>308.34342496250326</c:v>
                </c:pt>
                <c:pt idx="81">
                  <c:v>308.20605497750194</c:v>
                </c:pt>
                <c:pt idx="82">
                  <c:v>283.72363298650117</c:v>
                </c:pt>
                <c:pt idx="83">
                  <c:v>273.03417979190067</c:v>
                </c:pt>
                <c:pt idx="84">
                  <c:v>292.62050787514045</c:v>
                </c:pt>
                <c:pt idx="85">
                  <c:v>294.77230472508427</c:v>
                </c:pt>
                <c:pt idx="86">
                  <c:v>286.06338283505056</c:v>
                </c:pt>
                <c:pt idx="87">
                  <c:v>296.43802970103036</c:v>
                </c:pt>
                <c:pt idx="88">
                  <c:v>277.46281782061823</c:v>
                </c:pt>
                <c:pt idx="89">
                  <c:v>280.87769069237095</c:v>
                </c:pt>
                <c:pt idx="90">
                  <c:v>280.12661441542258</c:v>
                </c:pt>
                <c:pt idx="91">
                  <c:v>291.67596864925355</c:v>
                </c:pt>
                <c:pt idx="92">
                  <c:v>335.40558118955209</c:v>
                </c:pt>
                <c:pt idx="93">
                  <c:v>324.84334871373125</c:v>
                </c:pt>
                <c:pt idx="94">
                  <c:v>326.10600922823875</c:v>
                </c:pt>
                <c:pt idx="95">
                  <c:v>336.86360553694328</c:v>
                </c:pt>
                <c:pt idx="96">
                  <c:v>343.71816332216599</c:v>
                </c:pt>
                <c:pt idx="97">
                  <c:v>337.03089799329962</c:v>
                </c:pt>
                <c:pt idx="98">
                  <c:v>331.81853879597975</c:v>
                </c:pt>
                <c:pt idx="99">
                  <c:v>313.09112327758783</c:v>
                </c:pt>
                <c:pt idx="100">
                  <c:v>285.05467396655268</c:v>
                </c:pt>
                <c:pt idx="101">
                  <c:v>267.43280437993161</c:v>
                </c:pt>
                <c:pt idx="102">
                  <c:v>275.25968262795897</c:v>
                </c:pt>
                <c:pt idx="103">
                  <c:v>307.15580957677537</c:v>
                </c:pt>
                <c:pt idx="104">
                  <c:v>368.29348574606524</c:v>
                </c:pt>
                <c:pt idx="105">
                  <c:v>366.5760914476391</c:v>
                </c:pt>
                <c:pt idx="106">
                  <c:v>414.74565486858347</c:v>
                </c:pt>
                <c:pt idx="107">
                  <c:v>429.64739292115007</c:v>
                </c:pt>
                <c:pt idx="108">
                  <c:v>414.18843575269</c:v>
                </c:pt>
                <c:pt idx="109">
                  <c:v>448.51306145161402</c:v>
                </c:pt>
                <c:pt idx="110">
                  <c:v>449.50783687096839</c:v>
                </c:pt>
                <c:pt idx="111">
                  <c:v>419.70470212258101</c:v>
                </c:pt>
                <c:pt idx="112">
                  <c:v>400.6228212735486</c:v>
                </c:pt>
                <c:pt idx="113">
                  <c:v>361.17369276412916</c:v>
                </c:pt>
                <c:pt idx="114">
                  <c:v>343.10421565847753</c:v>
                </c:pt>
                <c:pt idx="115">
                  <c:v>365.06252939508653</c:v>
                </c:pt>
                <c:pt idx="116">
                  <c:v>376.63751763705193</c:v>
                </c:pt>
                <c:pt idx="117">
                  <c:v>398.38251058223113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45-DA4D-A0A8-356464689689}"/>
            </c:ext>
          </c:extLst>
        </c:ser>
        <c:ser>
          <c:idx val="2"/>
          <c:order val="2"/>
          <c:tx>
            <c:strRef>
              <c:f>'Holt Winters'!$D$1</c:f>
              <c:strCache>
                <c:ptCount val="1"/>
                <c:pt idx="0">
                  <c:v>Second order smoothing (alph &amp; beta)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'Holt Winters'!$D$2:$D$119</c:f>
              <c:numCache>
                <c:formatCode>0.0</c:formatCode>
                <c:ptCount val="118"/>
                <c:pt idx="0" formatCode="General">
                  <c:v>41</c:v>
                </c:pt>
                <c:pt idx="1">
                  <c:v>41</c:v>
                </c:pt>
                <c:pt idx="2">
                  <c:v>40.200000000000003</c:v>
                </c:pt>
                <c:pt idx="3">
                  <c:v>44.120000000000005</c:v>
                </c:pt>
                <c:pt idx="4">
                  <c:v>42.472000000000001</c:v>
                </c:pt>
                <c:pt idx="5">
                  <c:v>42.683199999999999</c:v>
                </c:pt>
                <c:pt idx="6">
                  <c:v>40.809919999999998</c:v>
                </c:pt>
                <c:pt idx="7">
                  <c:v>42.085951999999999</c:v>
                </c:pt>
                <c:pt idx="8">
                  <c:v>39.251571200000001</c:v>
                </c:pt>
                <c:pt idx="9">
                  <c:v>39.150942720000003</c:v>
                </c:pt>
                <c:pt idx="10">
                  <c:v>37.490565631999999</c:v>
                </c:pt>
                <c:pt idx="11">
                  <c:v>34.094339379200001</c:v>
                </c:pt>
                <c:pt idx="12">
                  <c:v>40.056603627520005</c:v>
                </c:pt>
                <c:pt idx="13">
                  <c:v>44.033962176512006</c:v>
                </c:pt>
                <c:pt idx="14">
                  <c:v>50.020377305907203</c:v>
                </c:pt>
                <c:pt idx="15">
                  <c:v>55.212226383544319</c:v>
                </c:pt>
                <c:pt idx="16">
                  <c:v>45.927335830126594</c:v>
                </c:pt>
                <c:pt idx="17">
                  <c:v>43.156401498075958</c:v>
                </c:pt>
                <c:pt idx="18">
                  <c:v>44.693840898845579</c:v>
                </c:pt>
                <c:pt idx="19">
                  <c:v>48.016304539307349</c:v>
                </c:pt>
                <c:pt idx="20">
                  <c:v>52.809782723584405</c:v>
                </c:pt>
                <c:pt idx="21">
                  <c:v>54.485869634150646</c:v>
                </c:pt>
                <c:pt idx="22">
                  <c:v>53.491521780490388</c:v>
                </c:pt>
                <c:pt idx="23">
                  <c:v>60.094913068294233</c:v>
                </c:pt>
                <c:pt idx="24">
                  <c:v>72.056947840976534</c:v>
                </c:pt>
                <c:pt idx="25">
                  <c:v>72.83416870458592</c:v>
                </c:pt>
                <c:pt idx="26">
                  <c:v>68.500501222751552</c:v>
                </c:pt>
                <c:pt idx="27">
                  <c:v>63.100300733650933</c:v>
                </c:pt>
                <c:pt idx="28">
                  <c:v>71.460180440190555</c:v>
                </c:pt>
                <c:pt idx="29">
                  <c:v>80.47610826411433</c:v>
                </c:pt>
                <c:pt idx="30">
                  <c:v>76.285664958468601</c:v>
                </c:pt>
                <c:pt idx="31">
                  <c:v>88.971398975081172</c:v>
                </c:pt>
                <c:pt idx="32">
                  <c:v>108.98283938504871</c:v>
                </c:pt>
                <c:pt idx="33">
                  <c:v>113.38970363102922</c:v>
                </c:pt>
                <c:pt idx="34">
                  <c:v>106.83382217861754</c:v>
                </c:pt>
                <c:pt idx="35">
                  <c:v>114.50029330717052</c:v>
                </c:pt>
                <c:pt idx="36">
                  <c:v>128.30017598430231</c:v>
                </c:pt>
                <c:pt idx="37">
                  <c:v>140.18010559058138</c:v>
                </c:pt>
                <c:pt idx="38">
                  <c:v>133.70806335434884</c:v>
                </c:pt>
                <c:pt idx="39">
                  <c:v>136.2248380126093</c:v>
                </c:pt>
                <c:pt idx="40">
                  <c:v>125.33490280756558</c:v>
                </c:pt>
                <c:pt idx="41">
                  <c:v>120.80094168453934</c:v>
                </c:pt>
                <c:pt idx="42">
                  <c:v>103.28056501072359</c:v>
                </c:pt>
                <c:pt idx="43">
                  <c:v>109.96833900643415</c:v>
                </c:pt>
                <c:pt idx="44">
                  <c:v>119.18100340386049</c:v>
                </c:pt>
                <c:pt idx="45">
                  <c:v>115.50860204231628</c:v>
                </c:pt>
                <c:pt idx="46">
                  <c:v>106.10516122538976</c:v>
                </c:pt>
                <c:pt idx="47">
                  <c:v>102.46309673523386</c:v>
                </c:pt>
                <c:pt idx="48">
                  <c:v>92.677858041140325</c:v>
                </c:pt>
                <c:pt idx="49">
                  <c:v>95.206714824684198</c:v>
                </c:pt>
                <c:pt idx="50">
                  <c:v>99.924028894810519</c:v>
                </c:pt>
                <c:pt idx="51">
                  <c:v>104.75441733688632</c:v>
                </c:pt>
                <c:pt idx="52">
                  <c:v>98.852650402131786</c:v>
                </c:pt>
                <c:pt idx="53">
                  <c:v>98.511590241279066</c:v>
                </c:pt>
                <c:pt idx="54">
                  <c:v>109.10695414476743</c:v>
                </c:pt>
                <c:pt idx="55">
                  <c:v>127.46417248686045</c:v>
                </c:pt>
                <c:pt idx="56">
                  <c:v>152.47850349211626</c:v>
                </c:pt>
                <c:pt idx="57">
                  <c:v>185.88710209526977</c:v>
                </c:pt>
                <c:pt idx="58">
                  <c:v>187.13226125716187</c:v>
                </c:pt>
                <c:pt idx="59">
                  <c:v>181.87935675429713</c:v>
                </c:pt>
                <c:pt idx="60">
                  <c:v>180.32761405257827</c:v>
                </c:pt>
                <c:pt idx="61">
                  <c:v>162.59656843154698</c:v>
                </c:pt>
                <c:pt idx="62">
                  <c:v>161.95794105892821</c:v>
                </c:pt>
                <c:pt idx="63">
                  <c:v>165.57476463535693</c:v>
                </c:pt>
                <c:pt idx="64">
                  <c:v>158.94485878121415</c:v>
                </c:pt>
                <c:pt idx="65">
                  <c:v>168.96691526872848</c:v>
                </c:pt>
                <c:pt idx="66">
                  <c:v>163.38014916123709</c:v>
                </c:pt>
                <c:pt idx="67">
                  <c:v>208.42808949674225</c:v>
                </c:pt>
                <c:pt idx="68">
                  <c:v>214.65685369804535</c:v>
                </c:pt>
                <c:pt idx="69">
                  <c:v>213.99411221882718</c:v>
                </c:pt>
                <c:pt idx="70">
                  <c:v>239.99646733129629</c:v>
                </c:pt>
                <c:pt idx="71">
                  <c:v>251.19788039877778</c:v>
                </c:pt>
                <c:pt idx="72">
                  <c:v>265.51872823926669</c:v>
                </c:pt>
                <c:pt idx="73">
                  <c:v>254.51123694355999</c:v>
                </c:pt>
                <c:pt idx="74">
                  <c:v>237.90674216613598</c:v>
                </c:pt>
                <c:pt idx="75">
                  <c:v>245.54404529968158</c:v>
                </c:pt>
                <c:pt idx="76">
                  <c:v>264.52642717980893</c:v>
                </c:pt>
                <c:pt idx="77">
                  <c:v>243.51585630788537</c:v>
                </c:pt>
                <c:pt idx="78">
                  <c:v>244.50951378473121</c:v>
                </c:pt>
                <c:pt idx="79">
                  <c:v>287.90570827083877</c:v>
                </c:pt>
                <c:pt idx="80">
                  <c:v>308.34342496250326</c:v>
                </c:pt>
                <c:pt idx="81">
                  <c:v>308.20605497750194</c:v>
                </c:pt>
                <c:pt idx="82">
                  <c:v>283.72363298650117</c:v>
                </c:pt>
                <c:pt idx="83">
                  <c:v>273.03417979190067</c:v>
                </c:pt>
                <c:pt idx="84">
                  <c:v>292.62050787514045</c:v>
                </c:pt>
                <c:pt idx="85">
                  <c:v>294.77230472508427</c:v>
                </c:pt>
                <c:pt idx="86">
                  <c:v>286.06338283505056</c:v>
                </c:pt>
                <c:pt idx="87">
                  <c:v>296.43802970103036</c:v>
                </c:pt>
                <c:pt idx="88">
                  <c:v>277.46281782061823</c:v>
                </c:pt>
                <c:pt idx="89">
                  <c:v>280.87769069237095</c:v>
                </c:pt>
                <c:pt idx="90">
                  <c:v>280.12661441542258</c:v>
                </c:pt>
                <c:pt idx="91">
                  <c:v>291.67596864925355</c:v>
                </c:pt>
                <c:pt idx="92">
                  <c:v>335.40558118955209</c:v>
                </c:pt>
                <c:pt idx="93">
                  <c:v>324.84334871373125</c:v>
                </c:pt>
                <c:pt idx="94">
                  <c:v>326.10600922823875</c:v>
                </c:pt>
                <c:pt idx="95">
                  <c:v>336.86360553694328</c:v>
                </c:pt>
                <c:pt idx="96">
                  <c:v>343.71816332216599</c:v>
                </c:pt>
                <c:pt idx="97">
                  <c:v>337.03089799329962</c:v>
                </c:pt>
                <c:pt idx="98">
                  <c:v>331.81853879597975</c:v>
                </c:pt>
                <c:pt idx="99">
                  <c:v>313.09112327758783</c:v>
                </c:pt>
                <c:pt idx="100">
                  <c:v>285.05467396655268</c:v>
                </c:pt>
                <c:pt idx="101">
                  <c:v>267.43280437993161</c:v>
                </c:pt>
                <c:pt idx="102">
                  <c:v>275.25968262795897</c:v>
                </c:pt>
                <c:pt idx="103">
                  <c:v>307.15580957677537</c:v>
                </c:pt>
                <c:pt idx="104">
                  <c:v>368.29348574606524</c:v>
                </c:pt>
                <c:pt idx="105">
                  <c:v>366.5760914476391</c:v>
                </c:pt>
                <c:pt idx="106">
                  <c:v>414.74565486858347</c:v>
                </c:pt>
                <c:pt idx="107">
                  <c:v>429.64739292115007</c:v>
                </c:pt>
                <c:pt idx="108">
                  <c:v>414.18843575269</c:v>
                </c:pt>
                <c:pt idx="109">
                  <c:v>448.51306145161402</c:v>
                </c:pt>
                <c:pt idx="110">
                  <c:v>449.50783687096839</c:v>
                </c:pt>
                <c:pt idx="111">
                  <c:v>419.70470212258101</c:v>
                </c:pt>
                <c:pt idx="112">
                  <c:v>400.6228212735486</c:v>
                </c:pt>
                <c:pt idx="113">
                  <c:v>361.17369276412916</c:v>
                </c:pt>
                <c:pt idx="114">
                  <c:v>343.10421565847753</c:v>
                </c:pt>
                <c:pt idx="115">
                  <c:v>365.06252939508653</c:v>
                </c:pt>
                <c:pt idx="116">
                  <c:v>376.63751763705193</c:v>
                </c:pt>
                <c:pt idx="117">
                  <c:v>398.38251058223113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45-DA4D-A0A8-356464689689}"/>
            </c:ext>
          </c:extLst>
        </c:ser>
        <c:ser>
          <c:idx val="3"/>
          <c:order val="3"/>
          <c:tx>
            <c:strRef>
              <c:f>'Holt Winters'!$E$1</c:f>
              <c:strCache>
                <c:ptCount val="1"/>
                <c:pt idx="0">
                  <c:v>Third order smoothing (alpha, beta, gamma)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'Holt Winters'!$E$2:$E$119</c:f>
              <c:numCache>
                <c:formatCode>0.0</c:formatCode>
                <c:ptCount val="118"/>
                <c:pt idx="0" formatCode="General">
                  <c:v>41</c:v>
                </c:pt>
                <c:pt idx="1">
                  <c:v>41</c:v>
                </c:pt>
                <c:pt idx="2">
                  <c:v>40.200000000000003</c:v>
                </c:pt>
                <c:pt idx="3">
                  <c:v>44.120000000000005</c:v>
                </c:pt>
                <c:pt idx="4">
                  <c:v>42.472000000000001</c:v>
                </c:pt>
                <c:pt idx="5">
                  <c:v>42.683199999999999</c:v>
                </c:pt>
                <c:pt idx="6">
                  <c:v>40.809919999999998</c:v>
                </c:pt>
                <c:pt idx="7">
                  <c:v>42.085951999999999</c:v>
                </c:pt>
                <c:pt idx="8">
                  <c:v>39.251571200000001</c:v>
                </c:pt>
                <c:pt idx="9">
                  <c:v>39.150942720000003</c:v>
                </c:pt>
                <c:pt idx="10">
                  <c:v>37.490565631999999</c:v>
                </c:pt>
                <c:pt idx="11">
                  <c:v>34.094339379200001</c:v>
                </c:pt>
                <c:pt idx="12">
                  <c:v>40.056603627520005</c:v>
                </c:pt>
                <c:pt idx="13">
                  <c:v>44.033962176512006</c:v>
                </c:pt>
                <c:pt idx="14">
                  <c:v>50.020377305907203</c:v>
                </c:pt>
                <c:pt idx="15">
                  <c:v>55.212226383544319</c:v>
                </c:pt>
                <c:pt idx="16">
                  <c:v>45.927335830126594</c:v>
                </c:pt>
                <c:pt idx="17">
                  <c:v>43.156401498075958</c:v>
                </c:pt>
                <c:pt idx="18">
                  <c:v>44.693840898845579</c:v>
                </c:pt>
                <c:pt idx="19">
                  <c:v>48.016304539307349</c:v>
                </c:pt>
                <c:pt idx="20">
                  <c:v>52.809782723584405</c:v>
                </c:pt>
                <c:pt idx="21">
                  <c:v>54.485869634150646</c:v>
                </c:pt>
                <c:pt idx="22">
                  <c:v>53.491521780490388</c:v>
                </c:pt>
                <c:pt idx="23">
                  <c:v>60.094913068294233</c:v>
                </c:pt>
                <c:pt idx="24">
                  <c:v>72.056947840976534</c:v>
                </c:pt>
                <c:pt idx="25">
                  <c:v>72.83416870458592</c:v>
                </c:pt>
                <c:pt idx="26">
                  <c:v>68.500501222751552</c:v>
                </c:pt>
                <c:pt idx="27">
                  <c:v>63.100300733650933</c:v>
                </c:pt>
                <c:pt idx="28">
                  <c:v>71.460180440190555</c:v>
                </c:pt>
                <c:pt idx="29">
                  <c:v>80.47610826411433</c:v>
                </c:pt>
                <c:pt idx="30">
                  <c:v>76.285664958468601</c:v>
                </c:pt>
                <c:pt idx="31">
                  <c:v>88.971398975081172</c:v>
                </c:pt>
                <c:pt idx="32">
                  <c:v>108.98283938504871</c:v>
                </c:pt>
                <c:pt idx="33">
                  <c:v>113.38970363102922</c:v>
                </c:pt>
                <c:pt idx="34">
                  <c:v>106.83382217861754</c:v>
                </c:pt>
                <c:pt idx="35">
                  <c:v>114.50029330717052</c:v>
                </c:pt>
                <c:pt idx="36">
                  <c:v>128.30017598430231</c:v>
                </c:pt>
                <c:pt idx="37">
                  <c:v>140.18010559058138</c:v>
                </c:pt>
                <c:pt idx="38">
                  <c:v>133.70806335434884</c:v>
                </c:pt>
                <c:pt idx="39">
                  <c:v>136.2248380126093</c:v>
                </c:pt>
                <c:pt idx="40">
                  <c:v>125.33490280756558</c:v>
                </c:pt>
                <c:pt idx="41">
                  <c:v>120.80094168453934</c:v>
                </c:pt>
                <c:pt idx="42">
                  <c:v>103.28056501072359</c:v>
                </c:pt>
                <c:pt idx="43">
                  <c:v>109.96833900643415</c:v>
                </c:pt>
                <c:pt idx="44">
                  <c:v>119.18100340386049</c:v>
                </c:pt>
                <c:pt idx="45">
                  <c:v>115.50860204231628</c:v>
                </c:pt>
                <c:pt idx="46">
                  <c:v>106.10516122538976</c:v>
                </c:pt>
                <c:pt idx="47">
                  <c:v>102.46309673523386</c:v>
                </c:pt>
                <c:pt idx="48">
                  <c:v>92.677858041140325</c:v>
                </c:pt>
                <c:pt idx="49">
                  <c:v>95.206714824684198</c:v>
                </c:pt>
                <c:pt idx="50">
                  <c:v>99.924028894810519</c:v>
                </c:pt>
                <c:pt idx="51">
                  <c:v>104.75441733688632</c:v>
                </c:pt>
                <c:pt idx="52">
                  <c:v>98.852650402131786</c:v>
                </c:pt>
                <c:pt idx="53">
                  <c:v>98.511590241279066</c:v>
                </c:pt>
                <c:pt idx="54">
                  <c:v>109.10695414476743</c:v>
                </c:pt>
                <c:pt idx="55">
                  <c:v>127.46417248686045</c:v>
                </c:pt>
                <c:pt idx="56">
                  <c:v>152.47850349211626</c:v>
                </c:pt>
                <c:pt idx="57">
                  <c:v>185.88710209526977</c:v>
                </c:pt>
                <c:pt idx="58">
                  <c:v>187.13226125716187</c:v>
                </c:pt>
                <c:pt idx="59">
                  <c:v>181.87935675429713</c:v>
                </c:pt>
                <c:pt idx="60">
                  <c:v>180.32761405257827</c:v>
                </c:pt>
                <c:pt idx="61">
                  <c:v>162.59656843154698</c:v>
                </c:pt>
                <c:pt idx="62">
                  <c:v>161.95794105892821</c:v>
                </c:pt>
                <c:pt idx="63">
                  <c:v>165.57476463535693</c:v>
                </c:pt>
                <c:pt idx="64">
                  <c:v>158.94485878121415</c:v>
                </c:pt>
                <c:pt idx="65">
                  <c:v>168.96691526872848</c:v>
                </c:pt>
                <c:pt idx="66">
                  <c:v>163.38014916123709</c:v>
                </c:pt>
                <c:pt idx="67">
                  <c:v>208.42808949674225</c:v>
                </c:pt>
                <c:pt idx="68">
                  <c:v>214.65685369804535</c:v>
                </c:pt>
                <c:pt idx="69">
                  <c:v>213.99411221882718</c:v>
                </c:pt>
                <c:pt idx="70">
                  <c:v>239.99646733129629</c:v>
                </c:pt>
                <c:pt idx="71">
                  <c:v>251.19788039877778</c:v>
                </c:pt>
                <c:pt idx="72">
                  <c:v>265.51872823926669</c:v>
                </c:pt>
                <c:pt idx="73">
                  <c:v>254.51123694355999</c:v>
                </c:pt>
                <c:pt idx="74">
                  <c:v>237.90674216613598</c:v>
                </c:pt>
                <c:pt idx="75">
                  <c:v>245.54404529968158</c:v>
                </c:pt>
                <c:pt idx="76">
                  <c:v>264.52642717980893</c:v>
                </c:pt>
                <c:pt idx="77">
                  <c:v>243.51585630788537</c:v>
                </c:pt>
                <c:pt idx="78">
                  <c:v>244.50951378473121</c:v>
                </c:pt>
                <c:pt idx="79">
                  <c:v>287.90570827083877</c:v>
                </c:pt>
                <c:pt idx="80">
                  <c:v>308.34342496250326</c:v>
                </c:pt>
                <c:pt idx="81">
                  <c:v>308.20605497750194</c:v>
                </c:pt>
                <c:pt idx="82">
                  <c:v>283.72363298650117</c:v>
                </c:pt>
                <c:pt idx="83">
                  <c:v>273.03417979190067</c:v>
                </c:pt>
                <c:pt idx="84">
                  <c:v>292.62050787514045</c:v>
                </c:pt>
                <c:pt idx="85">
                  <c:v>294.77230472508427</c:v>
                </c:pt>
                <c:pt idx="86">
                  <c:v>286.06338283505056</c:v>
                </c:pt>
                <c:pt idx="87">
                  <c:v>296.43802970103036</c:v>
                </c:pt>
                <c:pt idx="88">
                  <c:v>277.46281782061823</c:v>
                </c:pt>
                <c:pt idx="89">
                  <c:v>280.87769069237095</c:v>
                </c:pt>
                <c:pt idx="90">
                  <c:v>280.12661441542258</c:v>
                </c:pt>
                <c:pt idx="91">
                  <c:v>291.67596864925355</c:v>
                </c:pt>
                <c:pt idx="92">
                  <c:v>335.40558118955209</c:v>
                </c:pt>
                <c:pt idx="93">
                  <c:v>324.84334871373125</c:v>
                </c:pt>
                <c:pt idx="94">
                  <c:v>326.10600922823875</c:v>
                </c:pt>
                <c:pt idx="95">
                  <c:v>336.86360553694328</c:v>
                </c:pt>
                <c:pt idx="96">
                  <c:v>343.71816332216599</c:v>
                </c:pt>
                <c:pt idx="97">
                  <c:v>337.03089799329962</c:v>
                </c:pt>
                <c:pt idx="98">
                  <c:v>331.81853879597975</c:v>
                </c:pt>
                <c:pt idx="99">
                  <c:v>313.09112327758783</c:v>
                </c:pt>
                <c:pt idx="100">
                  <c:v>285.05467396655268</c:v>
                </c:pt>
                <c:pt idx="101">
                  <c:v>267.43280437993161</c:v>
                </c:pt>
                <c:pt idx="102">
                  <c:v>275.25968262795897</c:v>
                </c:pt>
                <c:pt idx="103">
                  <c:v>307.15580957677537</c:v>
                </c:pt>
                <c:pt idx="104">
                  <c:v>368.29348574606524</c:v>
                </c:pt>
                <c:pt idx="105">
                  <c:v>366.5760914476391</c:v>
                </c:pt>
                <c:pt idx="106">
                  <c:v>414.74565486858347</c:v>
                </c:pt>
                <c:pt idx="107">
                  <c:v>429.64739292115007</c:v>
                </c:pt>
                <c:pt idx="108">
                  <c:v>414.18843575269</c:v>
                </c:pt>
                <c:pt idx="109">
                  <c:v>448.51306145161402</c:v>
                </c:pt>
                <c:pt idx="110">
                  <c:v>449.50783687096839</c:v>
                </c:pt>
                <c:pt idx="111">
                  <c:v>419.70470212258101</c:v>
                </c:pt>
                <c:pt idx="112">
                  <c:v>400.6228212735486</c:v>
                </c:pt>
                <c:pt idx="113">
                  <c:v>361.17369276412916</c:v>
                </c:pt>
                <c:pt idx="114">
                  <c:v>343.10421565847753</c:v>
                </c:pt>
                <c:pt idx="115">
                  <c:v>365.06252939508653</c:v>
                </c:pt>
                <c:pt idx="116">
                  <c:v>376.63751763705193</c:v>
                </c:pt>
                <c:pt idx="117">
                  <c:v>398.38251058223113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45-DA4D-A0A8-356464689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638543"/>
        <c:axId val="1682792015"/>
      </c:lineChart>
      <c:catAx>
        <c:axId val="1659638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792015"/>
        <c:crosses val="autoZero"/>
        <c:auto val="1"/>
        <c:lblAlgn val="ctr"/>
        <c:lblOffset val="100"/>
        <c:noMultiLvlLbl val="0"/>
      </c:catAx>
      <c:valAx>
        <c:axId val="16827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3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1</xdr:row>
      <xdr:rowOff>88900</xdr:rowOff>
    </xdr:from>
    <xdr:to>
      <xdr:col>11</xdr:col>
      <xdr:colOff>635000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16</xdr:row>
      <xdr:rowOff>165100</xdr:rowOff>
    </xdr:from>
    <xdr:to>
      <xdr:col>11</xdr:col>
      <xdr:colOff>520700</xdr:colOff>
      <xdr:row>31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685800</xdr:colOff>
      <xdr:row>2</xdr:row>
      <xdr:rowOff>0</xdr:rowOff>
    </xdr:from>
    <xdr:to>
      <xdr:col>17</xdr:col>
      <xdr:colOff>304800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88900</xdr:colOff>
      <xdr:row>17</xdr:row>
      <xdr:rowOff>152400</xdr:rowOff>
    </xdr:from>
    <xdr:to>
      <xdr:col>17</xdr:col>
      <xdr:colOff>533400</xdr:colOff>
      <xdr:row>32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508000</xdr:colOff>
      <xdr:row>32</xdr:row>
      <xdr:rowOff>127000</xdr:rowOff>
    </xdr:from>
    <xdr:to>
      <xdr:col>12</xdr:col>
      <xdr:colOff>127000</xdr:colOff>
      <xdr:row>47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673100</xdr:colOff>
      <xdr:row>7</xdr:row>
      <xdr:rowOff>139700</xdr:rowOff>
    </xdr:from>
    <xdr:to>
      <xdr:col>12</xdr:col>
      <xdr:colOff>292100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342900</xdr:colOff>
      <xdr:row>0</xdr:row>
      <xdr:rowOff>50800</xdr:rowOff>
    </xdr:from>
    <xdr:to>
      <xdr:col>13</xdr:col>
      <xdr:colOff>596559</xdr:colOff>
      <xdr:row>3</xdr:row>
      <xdr:rowOff>88819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1A73F-1019-0748-8789-1F3936239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9400" y="50800"/>
          <a:ext cx="2730159" cy="6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5</xdr:row>
      <xdr:rowOff>95250</xdr:rowOff>
    </xdr:from>
    <xdr:to>
      <xdr:col>13</xdr:col>
      <xdr:colOff>431800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22</xdr:row>
      <xdr:rowOff>133350</xdr:rowOff>
    </xdr:from>
    <xdr:to>
      <xdr:col>13</xdr:col>
      <xdr:colOff>495300</xdr:colOff>
      <xdr:row>37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469900</xdr:colOff>
      <xdr:row>0</xdr:row>
      <xdr:rowOff>190500</xdr:rowOff>
    </xdr:from>
    <xdr:to>
      <xdr:col>16</xdr:col>
      <xdr:colOff>127000</xdr:colOff>
      <xdr:row>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467F8-A467-3B4B-885C-F172E3679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0" y="190500"/>
          <a:ext cx="3784600" cy="184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711200</xdr:colOff>
      <xdr:row>12</xdr:row>
      <xdr:rowOff>12700</xdr:rowOff>
    </xdr:from>
    <xdr:to>
      <xdr:col>16</xdr:col>
      <xdr:colOff>368300</xdr:colOff>
      <xdr:row>21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8D0B2-2BFF-5F42-A3B3-18C16E91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23700" y="2451100"/>
          <a:ext cx="3784600" cy="1955800"/>
        </a:xfrm>
        <a:prstGeom prst="rect">
          <a:avLst/>
        </a:prstGeom>
      </xdr:spPr>
    </xdr:pic>
    <xdr:clientData/>
  </xdr:twoCellAnchor>
  <xdr:twoCellAnchor>
    <xdr:from>
      <xdr:col>8</xdr:col>
      <xdr:colOff>234950</xdr:colOff>
      <xdr:row>24</xdr:row>
      <xdr:rowOff>165100</xdr:rowOff>
    </xdr:from>
    <xdr:to>
      <xdr:col>18</xdr:col>
      <xdr:colOff>25400</xdr:colOff>
      <xdr:row>53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2B2A35-5417-AA43-8F05-3B760E89A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medRobberyOneAtr" connectionId="1" xr16:uid="{00000000-0016-0000-0000-000000000000}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medRobberyOneAtr" connectionId="1" xr16:uid="{00000000-0016-0000-0400-000004000000}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medRobberyOneAtr" connectionId="1" xr16:uid="{00000000-0016-0000-0100-000001000000}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medRobberyOneAtr" connectionId="1" xr16:uid="{00000000-0016-0000-0200-000002000000}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medRobberyOneAtr" connectionId="1" xr16:uid="{00000000-0016-0000-0300-000003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"/>
  <sheetViews>
    <sheetView workbookViewId="0">
      <selection activeCell="E29" sqref="E29"/>
    </sheetView>
  </sheetViews>
  <sheetFormatPr baseColWidth="10" defaultRowHeight="16" x14ac:dyDescent="0.2"/>
  <cols>
    <col min="1" max="1" width="7.5" bestFit="1" customWidth="1"/>
    <col min="2" max="2" width="5" bestFit="1" customWidth="1"/>
    <col min="3" max="4" width="6.33203125" customWidth="1"/>
    <col min="5" max="5" width="6.33203125" style="9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</row>
    <row r="2" spans="1:5" x14ac:dyDescent="0.2">
      <c r="A2" s="4">
        <v>22616</v>
      </c>
      <c r="B2" s="10">
        <v>41</v>
      </c>
      <c r="C2" s="7"/>
      <c r="D2" s="5"/>
      <c r="E2" s="7"/>
    </row>
    <row r="3" spans="1:5" x14ac:dyDescent="0.2">
      <c r="A3" s="4">
        <v>22647</v>
      </c>
      <c r="B3" s="10">
        <v>39</v>
      </c>
      <c r="C3" s="11">
        <f>AVERAGE(B2:B4)</f>
        <v>43.333333333333336</v>
      </c>
      <c r="D3" s="5"/>
      <c r="E3" s="7"/>
    </row>
    <row r="4" spans="1:5" x14ac:dyDescent="0.2">
      <c r="A4" s="4">
        <v>22678</v>
      </c>
      <c r="B4" s="10">
        <v>50</v>
      </c>
      <c r="C4" s="7">
        <f t="shared" ref="C4:C24" si="0">AVERAGE(B3:B5)</f>
        <v>43</v>
      </c>
      <c r="D4" s="5">
        <f>AVERAGE(B2:B6)</f>
        <v>42.6</v>
      </c>
      <c r="E4" s="7"/>
    </row>
    <row r="5" spans="1:5" x14ac:dyDescent="0.2">
      <c r="A5" s="4">
        <v>22706</v>
      </c>
      <c r="B5" s="5">
        <v>40</v>
      </c>
      <c r="C5" s="7">
        <f t="shared" si="0"/>
        <v>44.333333333333336</v>
      </c>
      <c r="D5" s="5">
        <f t="shared" ref="D5:D23" si="1">AVERAGE(B3:B7)</f>
        <v>42</v>
      </c>
      <c r="E5" s="7"/>
    </row>
    <row r="6" spans="1:5" x14ac:dyDescent="0.2">
      <c r="A6" s="4">
        <v>22737</v>
      </c>
      <c r="B6" s="5">
        <v>43</v>
      </c>
      <c r="C6" s="7">
        <f t="shared" si="0"/>
        <v>40.333333333333336</v>
      </c>
      <c r="D6" s="5">
        <f t="shared" si="1"/>
        <v>43</v>
      </c>
      <c r="E6" s="7">
        <f>AVERAGE(B2:B10)</f>
        <v>41</v>
      </c>
    </row>
    <row r="7" spans="1:5" x14ac:dyDescent="0.2">
      <c r="A7" s="4">
        <v>22767</v>
      </c>
      <c r="B7" s="5">
        <v>38</v>
      </c>
      <c r="C7" s="7">
        <f t="shared" si="0"/>
        <v>41.666666666666664</v>
      </c>
      <c r="D7" s="5">
        <f t="shared" si="1"/>
        <v>40</v>
      </c>
      <c r="E7" s="7">
        <f t="shared" ref="E7:E21" si="2">AVERAGE(B3:B11)</f>
        <v>40.333333333333336</v>
      </c>
    </row>
    <row r="8" spans="1:5" x14ac:dyDescent="0.2">
      <c r="A8" s="4">
        <v>22798</v>
      </c>
      <c r="B8" s="12">
        <v>44</v>
      </c>
      <c r="C8" s="7">
        <f t="shared" si="0"/>
        <v>39</v>
      </c>
      <c r="D8" s="5">
        <f t="shared" si="1"/>
        <v>39.799999999999997</v>
      </c>
      <c r="E8" s="7">
        <f t="shared" si="2"/>
        <v>39.222222222222221</v>
      </c>
    </row>
    <row r="9" spans="1:5" x14ac:dyDescent="0.2">
      <c r="A9" s="4">
        <v>22828</v>
      </c>
      <c r="B9" s="12">
        <v>35</v>
      </c>
      <c r="C9" s="7">
        <f t="shared" si="0"/>
        <v>39.333333333333336</v>
      </c>
      <c r="D9" s="5">
        <f t="shared" si="1"/>
        <v>38.200000000000003</v>
      </c>
      <c r="E9" s="7">
        <f t="shared" si="2"/>
        <v>39.111111111111114</v>
      </c>
    </row>
    <row r="10" spans="1:5" x14ac:dyDescent="0.2">
      <c r="A10" s="4">
        <v>22859</v>
      </c>
      <c r="B10" s="12">
        <v>39</v>
      </c>
      <c r="C10" s="7">
        <f t="shared" si="0"/>
        <v>36.333333333333336</v>
      </c>
      <c r="D10" s="12">
        <f t="shared" si="1"/>
        <v>36.4</v>
      </c>
      <c r="E10" s="7">
        <f t="shared" si="2"/>
        <v>40.222222222222221</v>
      </c>
    </row>
    <row r="11" spans="1:5" x14ac:dyDescent="0.2">
      <c r="A11" s="4">
        <v>22890</v>
      </c>
      <c r="B11" s="12">
        <v>35</v>
      </c>
      <c r="C11" s="7">
        <f t="shared" si="0"/>
        <v>34.333333333333336</v>
      </c>
      <c r="D11" s="5">
        <f t="shared" si="1"/>
        <v>37.4</v>
      </c>
      <c r="E11" s="7">
        <f t="shared" si="2"/>
        <v>42</v>
      </c>
    </row>
    <row r="12" spans="1:5" x14ac:dyDescent="0.2">
      <c r="A12" s="4">
        <v>22920</v>
      </c>
      <c r="B12" s="12">
        <v>29</v>
      </c>
      <c r="C12" s="7">
        <f t="shared" si="0"/>
        <v>37.666666666666664</v>
      </c>
      <c r="D12" s="5">
        <f t="shared" si="1"/>
        <v>40.4</v>
      </c>
      <c r="E12" s="7">
        <f t="shared" si="2"/>
        <v>44.777777777777779</v>
      </c>
    </row>
    <row r="13" spans="1:5" x14ac:dyDescent="0.2">
      <c r="A13" s="4">
        <v>22951</v>
      </c>
      <c r="B13" s="5">
        <v>49</v>
      </c>
      <c r="C13" s="7">
        <f t="shared" si="0"/>
        <v>42.666666666666664</v>
      </c>
      <c r="D13" s="5">
        <f t="shared" si="1"/>
        <v>44.4</v>
      </c>
      <c r="E13" s="7">
        <f t="shared" si="2"/>
        <v>43.444444444444443</v>
      </c>
    </row>
    <row r="14" spans="1:5" x14ac:dyDescent="0.2">
      <c r="A14" s="4">
        <v>22981</v>
      </c>
      <c r="B14" s="5">
        <v>50</v>
      </c>
      <c r="C14" s="7">
        <f t="shared" si="0"/>
        <v>52.666666666666664</v>
      </c>
      <c r="D14" s="5">
        <f t="shared" si="1"/>
        <v>50</v>
      </c>
      <c r="E14" s="7">
        <f t="shared" si="2"/>
        <v>43.888888888888886</v>
      </c>
    </row>
    <row r="15" spans="1:5" x14ac:dyDescent="0.2">
      <c r="A15" s="4">
        <v>23012</v>
      </c>
      <c r="B15" s="5">
        <v>59</v>
      </c>
      <c r="C15" s="7">
        <f t="shared" si="0"/>
        <v>57.333333333333336</v>
      </c>
      <c r="D15" s="5">
        <f t="shared" si="1"/>
        <v>50.6</v>
      </c>
      <c r="E15" s="7">
        <f t="shared" si="2"/>
        <v>44.777777777777779</v>
      </c>
    </row>
    <row r="16" spans="1:5" x14ac:dyDescent="0.2">
      <c r="A16" s="4">
        <v>23043</v>
      </c>
      <c r="B16" s="5">
        <v>63</v>
      </c>
      <c r="C16" s="7">
        <f t="shared" si="0"/>
        <v>51.333333333333336</v>
      </c>
      <c r="D16" s="5">
        <f t="shared" si="1"/>
        <v>48.6</v>
      </c>
      <c r="E16" s="7">
        <f t="shared" si="2"/>
        <v>46.777777777777779</v>
      </c>
    </row>
    <row r="17" spans="1:5" x14ac:dyDescent="0.2">
      <c r="A17" s="4">
        <v>23071</v>
      </c>
      <c r="B17" s="14">
        <v>32</v>
      </c>
      <c r="C17" s="7">
        <f t="shared" si="0"/>
        <v>44.666666666666664</v>
      </c>
      <c r="D17" s="5">
        <f t="shared" si="1"/>
        <v>48</v>
      </c>
      <c r="E17" s="7">
        <f t="shared" si="2"/>
        <v>50.222222222222221</v>
      </c>
    </row>
    <row r="18" spans="1:5" x14ac:dyDescent="0.2">
      <c r="A18" s="4">
        <v>23102</v>
      </c>
      <c r="B18" s="14">
        <v>39</v>
      </c>
      <c r="C18" s="7">
        <f t="shared" si="0"/>
        <v>39.333333333333336</v>
      </c>
      <c r="D18" s="5">
        <f t="shared" si="1"/>
        <v>46.8</v>
      </c>
      <c r="E18" s="7">
        <f t="shared" si="2"/>
        <v>51.111111111111114</v>
      </c>
    </row>
    <row r="19" spans="1:5" x14ac:dyDescent="0.2">
      <c r="A19" s="4">
        <v>23132</v>
      </c>
      <c r="B19" s="14">
        <v>47</v>
      </c>
      <c r="C19" s="7">
        <f t="shared" si="0"/>
        <v>46.333333333333336</v>
      </c>
      <c r="D19" s="5">
        <f t="shared" si="1"/>
        <v>46.2</v>
      </c>
      <c r="E19" s="7">
        <f t="shared" si="2"/>
        <v>51.333333333333336</v>
      </c>
    </row>
    <row r="20" spans="1:5" x14ac:dyDescent="0.2">
      <c r="A20" s="4">
        <v>23163</v>
      </c>
      <c r="B20" s="14">
        <v>53</v>
      </c>
      <c r="C20" s="7">
        <f t="shared" si="0"/>
        <v>53.333333333333336</v>
      </c>
      <c r="D20" s="5">
        <f t="shared" si="1"/>
        <v>51.2</v>
      </c>
      <c r="E20" s="7">
        <f t="shared" si="2"/>
        <v>52.555555555555557</v>
      </c>
    </row>
    <row r="21" spans="1:5" x14ac:dyDescent="0.2">
      <c r="A21" s="4">
        <v>23193</v>
      </c>
      <c r="B21" s="14">
        <v>60</v>
      </c>
      <c r="C21" s="7">
        <f t="shared" si="0"/>
        <v>56.666666666666664</v>
      </c>
      <c r="D21" s="5">
        <f t="shared" si="1"/>
        <v>53.8</v>
      </c>
      <c r="E21" s="13">
        <f t="shared" si="2"/>
        <v>55.555555555555557</v>
      </c>
    </row>
    <row r="22" spans="1:5" x14ac:dyDescent="0.2">
      <c r="A22" s="4">
        <v>23224</v>
      </c>
      <c r="B22" s="14">
        <v>57</v>
      </c>
      <c r="C22" s="7">
        <f t="shared" si="0"/>
        <v>56.333333333333336</v>
      </c>
      <c r="D22" s="5">
        <f t="shared" si="1"/>
        <v>58.4</v>
      </c>
      <c r="E22" s="7"/>
    </row>
    <row r="23" spans="1:5" x14ac:dyDescent="0.2">
      <c r="A23" s="4">
        <v>23255</v>
      </c>
      <c r="B23" s="14">
        <v>52</v>
      </c>
      <c r="C23" s="7">
        <f t="shared" si="0"/>
        <v>59.666666666666664</v>
      </c>
      <c r="D23" s="5">
        <f t="shared" si="1"/>
        <v>65.8</v>
      </c>
      <c r="E23" s="7"/>
    </row>
    <row r="24" spans="1:5" x14ac:dyDescent="0.2">
      <c r="A24" s="4">
        <v>23285</v>
      </c>
      <c r="B24" s="14">
        <v>70</v>
      </c>
      <c r="C24" s="7">
        <f t="shared" si="0"/>
        <v>70.666666666666671</v>
      </c>
      <c r="D24" s="5"/>
      <c r="E24" s="7"/>
    </row>
    <row r="25" spans="1:5" x14ac:dyDescent="0.2">
      <c r="A25" s="4">
        <v>23316</v>
      </c>
      <c r="B25" s="14">
        <v>90</v>
      </c>
      <c r="C25" s="7"/>
      <c r="D25" s="5"/>
      <c r="E25" s="7"/>
    </row>
    <row r="26" spans="1:5" x14ac:dyDescent="0.2">
      <c r="A26" s="2">
        <v>23346</v>
      </c>
      <c r="B26">
        <v>74</v>
      </c>
    </row>
    <row r="27" spans="1:5" x14ac:dyDescent="0.2">
      <c r="A27" s="2">
        <v>23377</v>
      </c>
      <c r="B27">
        <v>62</v>
      </c>
      <c r="D27" s="6"/>
    </row>
    <row r="28" spans="1:5" x14ac:dyDescent="0.2">
      <c r="A28" s="2">
        <v>23408</v>
      </c>
      <c r="B28">
        <v>55</v>
      </c>
    </row>
    <row r="29" spans="1:5" x14ac:dyDescent="0.2">
      <c r="A29" s="2">
        <v>23437</v>
      </c>
      <c r="B29">
        <v>84</v>
      </c>
    </row>
    <row r="30" spans="1:5" x14ac:dyDescent="0.2">
      <c r="A30" s="2">
        <v>23468</v>
      </c>
      <c r="B30">
        <v>94</v>
      </c>
    </row>
    <row r="31" spans="1:5" x14ac:dyDescent="0.2">
      <c r="A31" s="2">
        <v>23498</v>
      </c>
      <c r="B31">
        <v>70</v>
      </c>
    </row>
    <row r="32" spans="1:5" x14ac:dyDescent="0.2">
      <c r="A32" s="2">
        <v>23529</v>
      </c>
      <c r="B32">
        <v>108</v>
      </c>
    </row>
    <row r="33" spans="1:2" x14ac:dyDescent="0.2">
      <c r="A33" s="2">
        <v>23559</v>
      </c>
      <c r="B33">
        <v>139</v>
      </c>
    </row>
    <row r="34" spans="1:2" x14ac:dyDescent="0.2">
      <c r="A34" s="2">
        <v>23590</v>
      </c>
      <c r="B34">
        <v>120</v>
      </c>
    </row>
    <row r="35" spans="1:2" x14ac:dyDescent="0.2">
      <c r="A35" s="2">
        <v>23621</v>
      </c>
      <c r="B35">
        <v>97</v>
      </c>
    </row>
    <row r="36" spans="1:2" x14ac:dyDescent="0.2">
      <c r="A36" s="2">
        <v>23651</v>
      </c>
      <c r="B36">
        <v>126</v>
      </c>
    </row>
    <row r="37" spans="1:2" x14ac:dyDescent="0.2">
      <c r="A37" s="2">
        <v>23682</v>
      </c>
      <c r="B37">
        <v>149</v>
      </c>
    </row>
    <row r="38" spans="1:2" x14ac:dyDescent="0.2">
      <c r="A38" s="2">
        <v>23712</v>
      </c>
      <c r="B38">
        <v>158</v>
      </c>
    </row>
    <row r="39" spans="1:2" x14ac:dyDescent="0.2">
      <c r="A39" s="2">
        <v>23743</v>
      </c>
      <c r="B39">
        <v>124</v>
      </c>
    </row>
    <row r="40" spans="1:2" x14ac:dyDescent="0.2">
      <c r="A40" s="2">
        <v>23774</v>
      </c>
      <c r="B40">
        <v>140</v>
      </c>
    </row>
    <row r="41" spans="1:2" x14ac:dyDescent="0.2">
      <c r="A41" s="2">
        <v>23802</v>
      </c>
      <c r="B41">
        <v>109</v>
      </c>
    </row>
    <row r="42" spans="1:2" x14ac:dyDescent="0.2">
      <c r="A42" s="2">
        <v>23833</v>
      </c>
      <c r="B42">
        <v>114</v>
      </c>
    </row>
    <row r="43" spans="1:2" x14ac:dyDescent="0.2">
      <c r="A43" s="2">
        <v>23863</v>
      </c>
      <c r="B43">
        <v>77</v>
      </c>
    </row>
    <row r="44" spans="1:2" x14ac:dyDescent="0.2">
      <c r="A44" s="2">
        <v>23894</v>
      </c>
      <c r="B44">
        <v>120</v>
      </c>
    </row>
    <row r="45" spans="1:2" x14ac:dyDescent="0.2">
      <c r="A45" s="2">
        <v>23924</v>
      </c>
      <c r="B45">
        <v>133</v>
      </c>
    </row>
    <row r="46" spans="1:2" x14ac:dyDescent="0.2">
      <c r="A46" s="2">
        <v>23955</v>
      </c>
      <c r="B46">
        <v>110</v>
      </c>
    </row>
    <row r="47" spans="1:2" x14ac:dyDescent="0.2">
      <c r="A47" s="2">
        <v>23986</v>
      </c>
      <c r="B47">
        <v>92</v>
      </c>
    </row>
    <row r="48" spans="1:2" x14ac:dyDescent="0.2">
      <c r="A48" s="2">
        <v>24016</v>
      </c>
      <c r="B48">
        <v>97</v>
      </c>
    </row>
    <row r="49" spans="1:2" x14ac:dyDescent="0.2">
      <c r="A49" s="2">
        <v>24047</v>
      </c>
      <c r="B49">
        <v>78</v>
      </c>
    </row>
    <row r="50" spans="1:2" x14ac:dyDescent="0.2">
      <c r="A50" s="2">
        <v>24077</v>
      </c>
      <c r="B50">
        <v>99</v>
      </c>
    </row>
    <row r="51" spans="1:2" x14ac:dyDescent="0.2">
      <c r="A51" s="2">
        <v>24108</v>
      </c>
      <c r="B51">
        <v>107</v>
      </c>
    </row>
    <row r="52" spans="1:2" x14ac:dyDescent="0.2">
      <c r="A52" s="2">
        <v>24139</v>
      </c>
      <c r="B52">
        <v>112</v>
      </c>
    </row>
    <row r="53" spans="1:2" x14ac:dyDescent="0.2">
      <c r="A53" s="2">
        <v>24167</v>
      </c>
      <c r="B53">
        <v>90</v>
      </c>
    </row>
    <row r="54" spans="1:2" x14ac:dyDescent="0.2">
      <c r="A54" s="2">
        <v>24198</v>
      </c>
      <c r="B54">
        <v>98</v>
      </c>
    </row>
    <row r="55" spans="1:2" x14ac:dyDescent="0.2">
      <c r="A55" s="2">
        <v>24228</v>
      </c>
      <c r="B55">
        <v>125</v>
      </c>
    </row>
    <row r="56" spans="1:2" x14ac:dyDescent="0.2">
      <c r="A56" s="2">
        <v>24259</v>
      </c>
      <c r="B56">
        <v>155</v>
      </c>
    </row>
    <row r="57" spans="1:2" x14ac:dyDescent="0.2">
      <c r="A57" s="2">
        <v>24289</v>
      </c>
      <c r="B57">
        <v>190</v>
      </c>
    </row>
    <row r="58" spans="1:2" x14ac:dyDescent="0.2">
      <c r="A58" s="2">
        <v>24320</v>
      </c>
      <c r="B58">
        <v>236</v>
      </c>
    </row>
    <row r="59" spans="1:2" x14ac:dyDescent="0.2">
      <c r="A59" s="2">
        <v>24351</v>
      </c>
      <c r="B59">
        <v>189</v>
      </c>
    </row>
    <row r="60" spans="1:2" x14ac:dyDescent="0.2">
      <c r="A60" s="2">
        <v>24381</v>
      </c>
      <c r="B60">
        <v>174</v>
      </c>
    </row>
    <row r="61" spans="1:2" x14ac:dyDescent="0.2">
      <c r="A61" s="2">
        <v>24412</v>
      </c>
      <c r="B61">
        <v>178</v>
      </c>
    </row>
    <row r="62" spans="1:2" x14ac:dyDescent="0.2">
      <c r="A62" s="2">
        <v>24442</v>
      </c>
      <c r="B62">
        <v>136</v>
      </c>
    </row>
    <row r="63" spans="1:2" x14ac:dyDescent="0.2">
      <c r="A63" s="2">
        <v>24473</v>
      </c>
      <c r="B63">
        <v>161</v>
      </c>
    </row>
    <row r="64" spans="1:2" x14ac:dyDescent="0.2">
      <c r="A64" s="2">
        <v>24504</v>
      </c>
      <c r="B64">
        <v>171</v>
      </c>
    </row>
    <row r="65" spans="1:2" x14ac:dyDescent="0.2">
      <c r="A65" s="2">
        <v>24532</v>
      </c>
      <c r="B65">
        <v>149</v>
      </c>
    </row>
    <row r="66" spans="1:2" x14ac:dyDescent="0.2">
      <c r="A66" s="2">
        <v>24563</v>
      </c>
      <c r="B66">
        <v>184</v>
      </c>
    </row>
    <row r="67" spans="1:2" x14ac:dyDescent="0.2">
      <c r="A67" s="2">
        <v>24593</v>
      </c>
      <c r="B67">
        <v>155</v>
      </c>
    </row>
    <row r="68" spans="1:2" x14ac:dyDescent="0.2">
      <c r="A68" s="2">
        <v>24624</v>
      </c>
      <c r="B68">
        <v>276</v>
      </c>
    </row>
    <row r="69" spans="1:2" x14ac:dyDescent="0.2">
      <c r="A69" s="2">
        <v>24654</v>
      </c>
      <c r="B69">
        <v>224</v>
      </c>
    </row>
    <row r="70" spans="1:2" x14ac:dyDescent="0.2">
      <c r="A70" s="2">
        <v>24685</v>
      </c>
      <c r="B70">
        <v>213</v>
      </c>
    </row>
    <row r="71" spans="1:2" x14ac:dyDescent="0.2">
      <c r="A71" s="2">
        <v>24716</v>
      </c>
      <c r="B71">
        <v>279</v>
      </c>
    </row>
    <row r="72" spans="1:2" x14ac:dyDescent="0.2">
      <c r="A72" s="2">
        <v>24746</v>
      </c>
      <c r="B72">
        <v>268</v>
      </c>
    </row>
    <row r="73" spans="1:2" x14ac:dyDescent="0.2">
      <c r="A73" s="2">
        <v>24777</v>
      </c>
      <c r="B73">
        <v>287</v>
      </c>
    </row>
    <row r="74" spans="1:2" x14ac:dyDescent="0.2">
      <c r="A74" s="2">
        <v>24807</v>
      </c>
      <c r="B74">
        <v>238</v>
      </c>
    </row>
    <row r="75" spans="1:2" x14ac:dyDescent="0.2">
      <c r="A75" s="2">
        <v>24838</v>
      </c>
      <c r="B75">
        <v>213</v>
      </c>
    </row>
    <row r="76" spans="1:2" x14ac:dyDescent="0.2">
      <c r="A76" s="2">
        <v>24869</v>
      </c>
      <c r="B76">
        <v>257</v>
      </c>
    </row>
    <row r="77" spans="1:2" x14ac:dyDescent="0.2">
      <c r="A77" s="2">
        <v>24898</v>
      </c>
      <c r="B77">
        <v>293</v>
      </c>
    </row>
    <row r="78" spans="1:2" x14ac:dyDescent="0.2">
      <c r="A78" s="2">
        <v>24929</v>
      </c>
      <c r="B78">
        <v>212</v>
      </c>
    </row>
    <row r="79" spans="1:2" x14ac:dyDescent="0.2">
      <c r="A79" s="2">
        <v>24959</v>
      </c>
      <c r="B79">
        <v>246</v>
      </c>
    </row>
    <row r="80" spans="1:2" x14ac:dyDescent="0.2">
      <c r="A80" s="2">
        <v>24990</v>
      </c>
      <c r="B80">
        <v>353</v>
      </c>
    </row>
    <row r="81" spans="1:2" x14ac:dyDescent="0.2">
      <c r="A81" s="2">
        <v>25020</v>
      </c>
      <c r="B81">
        <v>339</v>
      </c>
    </row>
    <row r="82" spans="1:2" x14ac:dyDescent="0.2">
      <c r="A82" s="2">
        <v>25051</v>
      </c>
      <c r="B82">
        <v>308</v>
      </c>
    </row>
    <row r="83" spans="1:2" x14ac:dyDescent="0.2">
      <c r="A83" s="2">
        <v>25082</v>
      </c>
      <c r="B83">
        <v>247</v>
      </c>
    </row>
    <row r="84" spans="1:2" x14ac:dyDescent="0.2">
      <c r="A84" s="2">
        <v>25112</v>
      </c>
      <c r="B84">
        <v>257</v>
      </c>
    </row>
    <row r="85" spans="1:2" x14ac:dyDescent="0.2">
      <c r="A85" s="2">
        <v>25143</v>
      </c>
      <c r="B85">
        <v>322</v>
      </c>
    </row>
    <row r="86" spans="1:2" x14ac:dyDescent="0.2">
      <c r="A86" s="2">
        <v>25173</v>
      </c>
      <c r="B86">
        <v>298</v>
      </c>
    </row>
    <row r="87" spans="1:2" x14ac:dyDescent="0.2">
      <c r="A87" s="2">
        <v>25204</v>
      </c>
      <c r="B87">
        <v>273</v>
      </c>
    </row>
    <row r="88" spans="1:2" x14ac:dyDescent="0.2">
      <c r="A88" s="2">
        <v>25235</v>
      </c>
      <c r="B88">
        <v>312</v>
      </c>
    </row>
    <row r="89" spans="1:2" x14ac:dyDescent="0.2">
      <c r="A89" s="2">
        <v>25263</v>
      </c>
      <c r="B89">
        <v>249</v>
      </c>
    </row>
    <row r="90" spans="1:2" x14ac:dyDescent="0.2">
      <c r="A90" s="2">
        <v>25294</v>
      </c>
      <c r="B90">
        <v>286</v>
      </c>
    </row>
    <row r="91" spans="1:2" x14ac:dyDescent="0.2">
      <c r="A91" s="2">
        <v>25324</v>
      </c>
      <c r="B91">
        <v>279</v>
      </c>
    </row>
    <row r="92" spans="1:2" x14ac:dyDescent="0.2">
      <c r="A92" s="2">
        <v>25355</v>
      </c>
      <c r="B92">
        <v>309</v>
      </c>
    </row>
    <row r="93" spans="1:2" x14ac:dyDescent="0.2">
      <c r="A93" s="2">
        <v>25385</v>
      </c>
      <c r="B93">
        <v>401</v>
      </c>
    </row>
    <row r="94" spans="1:2" x14ac:dyDescent="0.2">
      <c r="A94" s="2">
        <v>25416</v>
      </c>
      <c r="B94">
        <v>309</v>
      </c>
    </row>
    <row r="95" spans="1:2" x14ac:dyDescent="0.2">
      <c r="A95" s="2">
        <v>25447</v>
      </c>
      <c r="B95">
        <v>328</v>
      </c>
    </row>
    <row r="96" spans="1:2" x14ac:dyDescent="0.2">
      <c r="A96" s="2">
        <v>25477</v>
      </c>
      <c r="B96">
        <v>353</v>
      </c>
    </row>
    <row r="97" spans="1:2" x14ac:dyDescent="0.2">
      <c r="A97" s="2">
        <v>25508</v>
      </c>
      <c r="B97">
        <v>354</v>
      </c>
    </row>
    <row r="98" spans="1:2" x14ac:dyDescent="0.2">
      <c r="A98" s="2">
        <v>25538</v>
      </c>
      <c r="B98">
        <v>327</v>
      </c>
    </row>
    <row r="99" spans="1:2" x14ac:dyDescent="0.2">
      <c r="A99" s="2">
        <v>25569</v>
      </c>
      <c r="B99">
        <v>324</v>
      </c>
    </row>
    <row r="100" spans="1:2" x14ac:dyDescent="0.2">
      <c r="A100" s="2">
        <v>25600</v>
      </c>
      <c r="B100">
        <v>285</v>
      </c>
    </row>
    <row r="101" spans="1:2" x14ac:dyDescent="0.2">
      <c r="A101" s="2">
        <v>25628</v>
      </c>
      <c r="B101">
        <v>243</v>
      </c>
    </row>
    <row r="102" spans="1:2" x14ac:dyDescent="0.2">
      <c r="A102" s="2">
        <v>25659</v>
      </c>
      <c r="B102">
        <v>241</v>
      </c>
    </row>
    <row r="103" spans="1:2" x14ac:dyDescent="0.2">
      <c r="A103" s="2">
        <v>25689</v>
      </c>
      <c r="B103">
        <v>287</v>
      </c>
    </row>
    <row r="104" spans="1:2" x14ac:dyDescent="0.2">
      <c r="A104" s="2">
        <v>25720</v>
      </c>
      <c r="B104">
        <v>355</v>
      </c>
    </row>
    <row r="105" spans="1:2" x14ac:dyDescent="0.2">
      <c r="A105" s="2">
        <v>25750</v>
      </c>
      <c r="B105">
        <v>460</v>
      </c>
    </row>
    <row r="106" spans="1:2" x14ac:dyDescent="0.2">
      <c r="A106" s="2">
        <v>25781</v>
      </c>
      <c r="B106">
        <v>364</v>
      </c>
    </row>
    <row r="107" spans="1:2" x14ac:dyDescent="0.2">
      <c r="A107" s="2">
        <v>25812</v>
      </c>
      <c r="B107">
        <v>487</v>
      </c>
    </row>
    <row r="108" spans="1:2" x14ac:dyDescent="0.2">
      <c r="A108" s="2">
        <v>25842</v>
      </c>
      <c r="B108">
        <v>452</v>
      </c>
    </row>
    <row r="109" spans="1:2" x14ac:dyDescent="0.2">
      <c r="A109" s="2">
        <v>25873</v>
      </c>
      <c r="B109">
        <v>391</v>
      </c>
    </row>
    <row r="110" spans="1:2" x14ac:dyDescent="0.2">
      <c r="A110" s="2">
        <v>25903</v>
      </c>
      <c r="B110">
        <v>500</v>
      </c>
    </row>
    <row r="111" spans="1:2" x14ac:dyDescent="0.2">
      <c r="A111" s="2">
        <v>25934</v>
      </c>
      <c r="B111">
        <v>451</v>
      </c>
    </row>
    <row r="112" spans="1:2" x14ac:dyDescent="0.2">
      <c r="A112" s="2">
        <v>25965</v>
      </c>
      <c r="B112">
        <v>375</v>
      </c>
    </row>
    <row r="113" spans="1:2" x14ac:dyDescent="0.2">
      <c r="A113" s="2">
        <v>25993</v>
      </c>
      <c r="B113">
        <v>372</v>
      </c>
    </row>
    <row r="114" spans="1:2" x14ac:dyDescent="0.2">
      <c r="A114" s="2">
        <v>26024</v>
      </c>
      <c r="B114">
        <v>302</v>
      </c>
    </row>
    <row r="115" spans="1:2" x14ac:dyDescent="0.2">
      <c r="A115" s="2">
        <v>26054</v>
      </c>
      <c r="B115">
        <v>316</v>
      </c>
    </row>
    <row r="116" spans="1:2" x14ac:dyDescent="0.2">
      <c r="A116" s="2">
        <v>26085</v>
      </c>
      <c r="B116">
        <v>398</v>
      </c>
    </row>
    <row r="117" spans="1:2" x14ac:dyDescent="0.2">
      <c r="A117" s="2">
        <v>26115</v>
      </c>
      <c r="B117">
        <v>394</v>
      </c>
    </row>
    <row r="118" spans="1:2" x14ac:dyDescent="0.2">
      <c r="A118" s="2">
        <v>26146</v>
      </c>
      <c r="B118">
        <v>431</v>
      </c>
    </row>
    <row r="119" spans="1:2" x14ac:dyDescent="0.2">
      <c r="A119" s="2">
        <v>26177</v>
      </c>
      <c r="B119">
        <v>431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9"/>
  <sheetViews>
    <sheetView workbookViewId="0">
      <selection activeCell="J12" sqref="J12"/>
    </sheetView>
  </sheetViews>
  <sheetFormatPr baseColWidth="10" defaultRowHeight="16" x14ac:dyDescent="0.2"/>
  <cols>
    <col min="1" max="1" width="7.5" bestFit="1" customWidth="1"/>
    <col min="2" max="2" width="5" bestFit="1" customWidth="1"/>
    <col min="5" max="5" width="9.33203125" customWidth="1"/>
    <col min="15" max="15" width="16.83203125" customWidth="1"/>
  </cols>
  <sheetData>
    <row r="1" spans="1:15" x14ac:dyDescent="0.2">
      <c r="A1" s="3" t="s">
        <v>0</v>
      </c>
      <c r="B1" s="3" t="s">
        <v>1</v>
      </c>
      <c r="F1" s="4">
        <v>23071</v>
      </c>
      <c r="G1" s="4">
        <v>23102</v>
      </c>
      <c r="H1" s="4">
        <v>23132</v>
      </c>
      <c r="I1" s="4">
        <v>23163</v>
      </c>
      <c r="J1" s="26">
        <v>23193</v>
      </c>
      <c r="K1" s="4">
        <v>23224</v>
      </c>
      <c r="L1" s="4">
        <v>23255</v>
      </c>
      <c r="M1" s="4">
        <v>23285</v>
      </c>
      <c r="N1" s="4">
        <v>23316</v>
      </c>
    </row>
    <row r="2" spans="1:15" x14ac:dyDescent="0.2">
      <c r="A2" s="4">
        <v>22616</v>
      </c>
      <c r="B2" s="10">
        <v>41</v>
      </c>
      <c r="F2" s="14">
        <v>32</v>
      </c>
      <c r="G2" s="14">
        <v>39</v>
      </c>
      <c r="H2" s="14">
        <v>47</v>
      </c>
      <c r="I2" s="14">
        <v>53</v>
      </c>
      <c r="J2" s="27">
        <v>60</v>
      </c>
      <c r="K2" s="14">
        <v>57</v>
      </c>
      <c r="L2" s="14">
        <v>52</v>
      </c>
      <c r="M2" s="14">
        <v>70</v>
      </c>
      <c r="N2" s="14">
        <v>90</v>
      </c>
      <c r="O2" s="25" t="s">
        <v>16</v>
      </c>
    </row>
    <row r="3" spans="1:15" x14ac:dyDescent="0.2">
      <c r="A3" s="4">
        <v>22647</v>
      </c>
      <c r="B3" s="10">
        <v>39</v>
      </c>
      <c r="E3" t="s">
        <v>13</v>
      </c>
      <c r="F3" s="29">
        <v>0.2</v>
      </c>
      <c r="G3" s="29">
        <v>0.4</v>
      </c>
      <c r="H3" s="29">
        <v>0.6</v>
      </c>
      <c r="I3" s="29">
        <v>0.8</v>
      </c>
      <c r="J3" s="30">
        <v>1</v>
      </c>
      <c r="K3" s="29">
        <v>0.8</v>
      </c>
      <c r="L3" s="29">
        <v>0.6</v>
      </c>
      <c r="M3" s="29">
        <v>0.4</v>
      </c>
      <c r="N3" s="29">
        <v>0.2</v>
      </c>
      <c r="O3" s="25">
        <f>SUM(F3:N3)</f>
        <v>5</v>
      </c>
    </row>
    <row r="4" spans="1:15" x14ac:dyDescent="0.2">
      <c r="A4" s="4">
        <v>22678</v>
      </c>
      <c r="B4" s="10">
        <v>50</v>
      </c>
      <c r="E4" t="s">
        <v>14</v>
      </c>
      <c r="F4">
        <f>F2*F3</f>
        <v>6.4</v>
      </c>
      <c r="G4">
        <f t="shared" ref="G4:N4" si="0">G2*G3</f>
        <v>15.600000000000001</v>
      </c>
      <c r="H4">
        <f t="shared" si="0"/>
        <v>28.2</v>
      </c>
      <c r="I4">
        <f t="shared" si="0"/>
        <v>42.400000000000006</v>
      </c>
      <c r="J4" s="28">
        <f t="shared" si="0"/>
        <v>60</v>
      </c>
      <c r="K4">
        <f t="shared" si="0"/>
        <v>45.6</v>
      </c>
      <c r="L4">
        <f t="shared" si="0"/>
        <v>31.2</v>
      </c>
      <c r="M4">
        <f t="shared" si="0"/>
        <v>28</v>
      </c>
      <c r="N4">
        <f t="shared" si="0"/>
        <v>18</v>
      </c>
    </row>
    <row r="5" spans="1:15" x14ac:dyDescent="0.2">
      <c r="A5" s="4">
        <v>22706</v>
      </c>
      <c r="B5" s="5">
        <v>40</v>
      </c>
      <c r="E5" t="s">
        <v>15</v>
      </c>
      <c r="J5" s="31">
        <f>SUM(F4:N4)/O3</f>
        <v>55.08</v>
      </c>
    </row>
    <row r="6" spans="1:15" x14ac:dyDescent="0.2">
      <c r="A6" s="4">
        <v>22737</v>
      </c>
      <c r="B6" s="5">
        <v>43</v>
      </c>
    </row>
    <row r="7" spans="1:15" x14ac:dyDescent="0.2">
      <c r="A7" s="4">
        <v>22767</v>
      </c>
      <c r="B7" s="5">
        <v>38</v>
      </c>
      <c r="I7" t="s">
        <v>20</v>
      </c>
      <c r="J7">
        <f>AVERAGE(F2:N2)</f>
        <v>55.555555555555557</v>
      </c>
    </row>
    <row r="8" spans="1:15" x14ac:dyDescent="0.2">
      <c r="A8" s="4">
        <v>22798</v>
      </c>
      <c r="B8" s="12">
        <v>44</v>
      </c>
    </row>
    <row r="9" spans="1:15" x14ac:dyDescent="0.2">
      <c r="A9" s="4">
        <v>22828</v>
      </c>
      <c r="B9" s="12">
        <v>35</v>
      </c>
    </row>
    <row r="10" spans="1:15" x14ac:dyDescent="0.2">
      <c r="A10" s="4">
        <v>22859</v>
      </c>
      <c r="B10" s="12">
        <v>39</v>
      </c>
    </row>
    <row r="11" spans="1:15" x14ac:dyDescent="0.2">
      <c r="A11" s="4">
        <v>22890</v>
      </c>
      <c r="B11" s="12">
        <v>35</v>
      </c>
    </row>
    <row r="12" spans="1:15" x14ac:dyDescent="0.2">
      <c r="A12" s="4">
        <v>22920</v>
      </c>
      <c r="B12" s="12">
        <v>29</v>
      </c>
    </row>
    <row r="13" spans="1:15" x14ac:dyDescent="0.2">
      <c r="A13" s="4">
        <v>22951</v>
      </c>
      <c r="B13" s="5">
        <v>49</v>
      </c>
    </row>
    <row r="14" spans="1:15" x14ac:dyDescent="0.2">
      <c r="A14" s="4">
        <v>22981</v>
      </c>
      <c r="B14" s="5">
        <v>50</v>
      </c>
    </row>
    <row r="15" spans="1:15" x14ac:dyDescent="0.2">
      <c r="A15" s="4">
        <v>23012</v>
      </c>
      <c r="B15" s="5">
        <v>59</v>
      </c>
    </row>
    <row r="16" spans="1:15" ht="34" x14ac:dyDescent="0.2">
      <c r="A16" s="4">
        <v>23043</v>
      </c>
      <c r="B16" s="5">
        <v>63</v>
      </c>
      <c r="C16" t="s">
        <v>17</v>
      </c>
      <c r="D16" s="32" t="s">
        <v>19</v>
      </c>
      <c r="E16" s="32" t="s">
        <v>18</v>
      </c>
    </row>
    <row r="17" spans="1:5" x14ac:dyDescent="0.2">
      <c r="A17" s="4">
        <v>23071</v>
      </c>
      <c r="B17" s="14">
        <v>32</v>
      </c>
      <c r="C17" s="29">
        <v>0.2</v>
      </c>
      <c r="D17">
        <f t="shared" ref="D17:D25" si="1">B17*C17</f>
        <v>6.4</v>
      </c>
    </row>
    <row r="18" spans="1:5" x14ac:dyDescent="0.2">
      <c r="A18" s="4">
        <v>23102</v>
      </c>
      <c r="B18" s="14">
        <v>39</v>
      </c>
      <c r="C18" s="29">
        <v>0.4</v>
      </c>
      <c r="D18">
        <f t="shared" si="1"/>
        <v>15.600000000000001</v>
      </c>
    </row>
    <row r="19" spans="1:5" x14ac:dyDescent="0.2">
      <c r="A19" s="4">
        <v>23132</v>
      </c>
      <c r="B19" s="14">
        <v>47</v>
      </c>
      <c r="C19" s="29">
        <v>0.6</v>
      </c>
      <c r="D19">
        <f t="shared" si="1"/>
        <v>28.2</v>
      </c>
    </row>
    <row r="20" spans="1:5" x14ac:dyDescent="0.2">
      <c r="A20" s="4">
        <v>23163</v>
      </c>
      <c r="B20" s="14">
        <v>53</v>
      </c>
      <c r="C20" s="29">
        <v>0.8</v>
      </c>
      <c r="D20">
        <f t="shared" si="1"/>
        <v>42.400000000000006</v>
      </c>
    </row>
    <row r="21" spans="1:5" x14ac:dyDescent="0.2">
      <c r="A21" s="4">
        <v>23193</v>
      </c>
      <c r="B21" s="14">
        <v>60</v>
      </c>
      <c r="C21" s="30">
        <v>1</v>
      </c>
      <c r="D21" s="28">
        <f t="shared" si="1"/>
        <v>60</v>
      </c>
      <c r="E21" s="33">
        <f>SUM(D17:D25)/SUM(C17:C25)</f>
        <v>55.08</v>
      </c>
    </row>
    <row r="22" spans="1:5" x14ac:dyDescent="0.2">
      <c r="A22" s="4">
        <v>23224</v>
      </c>
      <c r="B22" s="14">
        <v>57</v>
      </c>
      <c r="C22" s="29">
        <v>0.8</v>
      </c>
      <c r="D22">
        <f t="shared" si="1"/>
        <v>45.6</v>
      </c>
    </row>
    <row r="23" spans="1:5" x14ac:dyDescent="0.2">
      <c r="A23" s="4">
        <v>23255</v>
      </c>
      <c r="B23" s="14">
        <v>52</v>
      </c>
      <c r="C23" s="29">
        <v>0.6</v>
      </c>
      <c r="D23">
        <f t="shared" si="1"/>
        <v>31.2</v>
      </c>
    </row>
    <row r="24" spans="1:5" x14ac:dyDescent="0.2">
      <c r="A24" s="4">
        <v>23285</v>
      </c>
      <c r="B24" s="14">
        <v>70</v>
      </c>
      <c r="C24" s="29">
        <v>0.4</v>
      </c>
      <c r="D24">
        <f t="shared" si="1"/>
        <v>28</v>
      </c>
    </row>
    <row r="25" spans="1:5" x14ac:dyDescent="0.2">
      <c r="A25" s="4">
        <v>23316</v>
      </c>
      <c r="B25" s="14">
        <v>90</v>
      </c>
      <c r="C25" s="29">
        <v>0.2</v>
      </c>
      <c r="D25">
        <f t="shared" si="1"/>
        <v>18</v>
      </c>
    </row>
    <row r="26" spans="1:5" x14ac:dyDescent="0.2">
      <c r="A26" s="2">
        <v>23346</v>
      </c>
      <c r="B26">
        <v>74</v>
      </c>
    </row>
    <row r="27" spans="1:5" x14ac:dyDescent="0.2">
      <c r="A27" s="2">
        <v>23377</v>
      </c>
      <c r="B27">
        <v>62</v>
      </c>
      <c r="C27" s="24" t="str">
        <f>CONCATENATE("sum of weights: ",SUM(C17:C25))</f>
        <v>sum of weights: 5</v>
      </c>
    </row>
    <row r="28" spans="1:5" x14ac:dyDescent="0.2">
      <c r="A28" s="2">
        <v>23408</v>
      </c>
      <c r="B28">
        <v>55</v>
      </c>
    </row>
    <row r="29" spans="1:5" x14ac:dyDescent="0.2">
      <c r="A29" s="2">
        <v>23437</v>
      </c>
      <c r="B29">
        <v>84</v>
      </c>
    </row>
    <row r="30" spans="1:5" x14ac:dyDescent="0.2">
      <c r="A30" s="2">
        <v>23468</v>
      </c>
      <c r="B30">
        <v>94</v>
      </c>
    </row>
    <row r="31" spans="1:5" x14ac:dyDescent="0.2">
      <c r="A31" s="2">
        <v>23498</v>
      </c>
      <c r="B31">
        <v>70</v>
      </c>
    </row>
    <row r="32" spans="1:5" x14ac:dyDescent="0.2">
      <c r="A32" s="2">
        <v>23529</v>
      </c>
      <c r="B32">
        <v>108</v>
      </c>
    </row>
    <row r="33" spans="1:2" x14ac:dyDescent="0.2">
      <c r="A33" s="2">
        <v>23559</v>
      </c>
      <c r="B33">
        <v>139</v>
      </c>
    </row>
    <row r="34" spans="1:2" x14ac:dyDescent="0.2">
      <c r="A34" s="2">
        <v>23590</v>
      </c>
      <c r="B34">
        <v>120</v>
      </c>
    </row>
    <row r="35" spans="1:2" x14ac:dyDescent="0.2">
      <c r="A35" s="2">
        <v>23621</v>
      </c>
      <c r="B35">
        <v>97</v>
      </c>
    </row>
    <row r="36" spans="1:2" x14ac:dyDescent="0.2">
      <c r="A36" s="2">
        <v>23651</v>
      </c>
      <c r="B36">
        <v>126</v>
      </c>
    </row>
    <row r="37" spans="1:2" x14ac:dyDescent="0.2">
      <c r="A37" s="2">
        <v>23682</v>
      </c>
      <c r="B37">
        <v>149</v>
      </c>
    </row>
    <row r="38" spans="1:2" x14ac:dyDescent="0.2">
      <c r="A38" s="2">
        <v>23712</v>
      </c>
      <c r="B38">
        <v>158</v>
      </c>
    </row>
    <row r="39" spans="1:2" x14ac:dyDescent="0.2">
      <c r="A39" s="2">
        <v>23743</v>
      </c>
      <c r="B39">
        <v>124</v>
      </c>
    </row>
    <row r="40" spans="1:2" x14ac:dyDescent="0.2">
      <c r="A40" s="2">
        <v>23774</v>
      </c>
      <c r="B40">
        <v>140</v>
      </c>
    </row>
    <row r="41" spans="1:2" x14ac:dyDescent="0.2">
      <c r="A41" s="2">
        <v>23802</v>
      </c>
      <c r="B41">
        <v>109</v>
      </c>
    </row>
    <row r="42" spans="1:2" x14ac:dyDescent="0.2">
      <c r="A42" s="2">
        <v>23833</v>
      </c>
      <c r="B42">
        <v>114</v>
      </c>
    </row>
    <row r="43" spans="1:2" x14ac:dyDescent="0.2">
      <c r="A43" s="2">
        <v>23863</v>
      </c>
      <c r="B43">
        <v>77</v>
      </c>
    </row>
    <row r="44" spans="1:2" x14ac:dyDescent="0.2">
      <c r="A44" s="2">
        <v>23894</v>
      </c>
      <c r="B44">
        <v>120</v>
      </c>
    </row>
    <row r="45" spans="1:2" x14ac:dyDescent="0.2">
      <c r="A45" s="2">
        <v>23924</v>
      </c>
      <c r="B45">
        <v>133</v>
      </c>
    </row>
    <row r="46" spans="1:2" x14ac:dyDescent="0.2">
      <c r="A46" s="2">
        <v>23955</v>
      </c>
      <c r="B46">
        <v>110</v>
      </c>
    </row>
    <row r="47" spans="1:2" x14ac:dyDescent="0.2">
      <c r="A47" s="2">
        <v>23986</v>
      </c>
      <c r="B47">
        <v>92</v>
      </c>
    </row>
    <row r="48" spans="1:2" x14ac:dyDescent="0.2">
      <c r="A48" s="2">
        <v>24016</v>
      </c>
      <c r="B48">
        <v>97</v>
      </c>
    </row>
    <row r="49" spans="1:2" x14ac:dyDescent="0.2">
      <c r="A49" s="2">
        <v>24047</v>
      </c>
      <c r="B49">
        <v>78</v>
      </c>
    </row>
    <row r="50" spans="1:2" x14ac:dyDescent="0.2">
      <c r="A50" s="2">
        <v>24077</v>
      </c>
      <c r="B50">
        <v>99</v>
      </c>
    </row>
    <row r="51" spans="1:2" x14ac:dyDescent="0.2">
      <c r="A51" s="2">
        <v>24108</v>
      </c>
      <c r="B51">
        <v>107</v>
      </c>
    </row>
    <row r="52" spans="1:2" x14ac:dyDescent="0.2">
      <c r="A52" s="2">
        <v>24139</v>
      </c>
      <c r="B52">
        <v>112</v>
      </c>
    </row>
    <row r="53" spans="1:2" x14ac:dyDescent="0.2">
      <c r="A53" s="2">
        <v>24167</v>
      </c>
      <c r="B53">
        <v>90</v>
      </c>
    </row>
    <row r="54" spans="1:2" x14ac:dyDescent="0.2">
      <c r="A54" s="2">
        <v>24198</v>
      </c>
      <c r="B54">
        <v>98</v>
      </c>
    </row>
    <row r="55" spans="1:2" x14ac:dyDescent="0.2">
      <c r="A55" s="2">
        <v>24228</v>
      </c>
      <c r="B55">
        <v>125</v>
      </c>
    </row>
    <row r="56" spans="1:2" x14ac:dyDescent="0.2">
      <c r="A56" s="2">
        <v>24259</v>
      </c>
      <c r="B56">
        <v>155</v>
      </c>
    </row>
    <row r="57" spans="1:2" x14ac:dyDescent="0.2">
      <c r="A57" s="2">
        <v>24289</v>
      </c>
      <c r="B57">
        <v>190</v>
      </c>
    </row>
    <row r="58" spans="1:2" x14ac:dyDescent="0.2">
      <c r="A58" s="2">
        <v>24320</v>
      </c>
      <c r="B58">
        <v>236</v>
      </c>
    </row>
    <row r="59" spans="1:2" x14ac:dyDescent="0.2">
      <c r="A59" s="2">
        <v>24351</v>
      </c>
      <c r="B59">
        <v>189</v>
      </c>
    </row>
    <row r="60" spans="1:2" x14ac:dyDescent="0.2">
      <c r="A60" s="2">
        <v>24381</v>
      </c>
      <c r="B60">
        <v>174</v>
      </c>
    </row>
    <row r="61" spans="1:2" x14ac:dyDescent="0.2">
      <c r="A61" s="2">
        <v>24412</v>
      </c>
      <c r="B61">
        <v>178</v>
      </c>
    </row>
    <row r="62" spans="1:2" x14ac:dyDescent="0.2">
      <c r="A62" s="2">
        <v>24442</v>
      </c>
      <c r="B62">
        <v>136</v>
      </c>
    </row>
    <row r="63" spans="1:2" x14ac:dyDescent="0.2">
      <c r="A63" s="2">
        <v>24473</v>
      </c>
      <c r="B63">
        <v>161</v>
      </c>
    </row>
    <row r="64" spans="1:2" x14ac:dyDescent="0.2">
      <c r="A64" s="2">
        <v>24504</v>
      </c>
      <c r="B64">
        <v>171</v>
      </c>
    </row>
    <row r="65" spans="1:2" x14ac:dyDescent="0.2">
      <c r="A65" s="2">
        <v>24532</v>
      </c>
      <c r="B65">
        <v>149</v>
      </c>
    </row>
    <row r="66" spans="1:2" x14ac:dyDescent="0.2">
      <c r="A66" s="2">
        <v>24563</v>
      </c>
      <c r="B66">
        <v>184</v>
      </c>
    </row>
    <row r="67" spans="1:2" x14ac:dyDescent="0.2">
      <c r="A67" s="2">
        <v>24593</v>
      </c>
      <c r="B67">
        <v>155</v>
      </c>
    </row>
    <row r="68" spans="1:2" x14ac:dyDescent="0.2">
      <c r="A68" s="2">
        <v>24624</v>
      </c>
      <c r="B68">
        <v>276</v>
      </c>
    </row>
    <row r="69" spans="1:2" x14ac:dyDescent="0.2">
      <c r="A69" s="2">
        <v>24654</v>
      </c>
      <c r="B69">
        <v>224</v>
      </c>
    </row>
    <row r="70" spans="1:2" x14ac:dyDescent="0.2">
      <c r="A70" s="2">
        <v>24685</v>
      </c>
      <c r="B70">
        <v>213</v>
      </c>
    </row>
    <row r="71" spans="1:2" x14ac:dyDescent="0.2">
      <c r="A71" s="2">
        <v>24716</v>
      </c>
      <c r="B71">
        <v>279</v>
      </c>
    </row>
    <row r="72" spans="1:2" x14ac:dyDescent="0.2">
      <c r="A72" s="2">
        <v>24746</v>
      </c>
      <c r="B72">
        <v>268</v>
      </c>
    </row>
    <row r="73" spans="1:2" x14ac:dyDescent="0.2">
      <c r="A73" s="2">
        <v>24777</v>
      </c>
      <c r="B73">
        <v>287</v>
      </c>
    </row>
    <row r="74" spans="1:2" x14ac:dyDescent="0.2">
      <c r="A74" s="2">
        <v>24807</v>
      </c>
      <c r="B74">
        <v>238</v>
      </c>
    </row>
    <row r="75" spans="1:2" x14ac:dyDescent="0.2">
      <c r="A75" s="2">
        <v>24838</v>
      </c>
      <c r="B75">
        <v>213</v>
      </c>
    </row>
    <row r="76" spans="1:2" x14ac:dyDescent="0.2">
      <c r="A76" s="2">
        <v>24869</v>
      </c>
      <c r="B76">
        <v>257</v>
      </c>
    </row>
    <row r="77" spans="1:2" x14ac:dyDescent="0.2">
      <c r="A77" s="2">
        <v>24898</v>
      </c>
      <c r="B77">
        <v>293</v>
      </c>
    </row>
    <row r="78" spans="1:2" x14ac:dyDescent="0.2">
      <c r="A78" s="2">
        <v>24929</v>
      </c>
      <c r="B78">
        <v>212</v>
      </c>
    </row>
    <row r="79" spans="1:2" x14ac:dyDescent="0.2">
      <c r="A79" s="2">
        <v>24959</v>
      </c>
      <c r="B79">
        <v>246</v>
      </c>
    </row>
    <row r="80" spans="1:2" x14ac:dyDescent="0.2">
      <c r="A80" s="2">
        <v>24990</v>
      </c>
      <c r="B80">
        <v>353</v>
      </c>
    </row>
    <row r="81" spans="1:2" x14ac:dyDescent="0.2">
      <c r="A81" s="2">
        <v>25020</v>
      </c>
      <c r="B81">
        <v>339</v>
      </c>
    </row>
    <row r="82" spans="1:2" x14ac:dyDescent="0.2">
      <c r="A82" s="2">
        <v>25051</v>
      </c>
      <c r="B82">
        <v>308</v>
      </c>
    </row>
    <row r="83" spans="1:2" x14ac:dyDescent="0.2">
      <c r="A83" s="2">
        <v>25082</v>
      </c>
      <c r="B83">
        <v>247</v>
      </c>
    </row>
    <row r="84" spans="1:2" x14ac:dyDescent="0.2">
      <c r="A84" s="2">
        <v>25112</v>
      </c>
      <c r="B84">
        <v>257</v>
      </c>
    </row>
    <row r="85" spans="1:2" x14ac:dyDescent="0.2">
      <c r="A85" s="2">
        <v>25143</v>
      </c>
      <c r="B85">
        <v>322</v>
      </c>
    </row>
    <row r="86" spans="1:2" x14ac:dyDescent="0.2">
      <c r="A86" s="2">
        <v>25173</v>
      </c>
      <c r="B86">
        <v>298</v>
      </c>
    </row>
    <row r="87" spans="1:2" x14ac:dyDescent="0.2">
      <c r="A87" s="2">
        <v>25204</v>
      </c>
      <c r="B87">
        <v>273</v>
      </c>
    </row>
    <row r="88" spans="1:2" x14ac:dyDescent="0.2">
      <c r="A88" s="2">
        <v>25235</v>
      </c>
      <c r="B88">
        <v>312</v>
      </c>
    </row>
    <row r="89" spans="1:2" x14ac:dyDescent="0.2">
      <c r="A89" s="2">
        <v>25263</v>
      </c>
      <c r="B89">
        <v>249</v>
      </c>
    </row>
    <row r="90" spans="1:2" x14ac:dyDescent="0.2">
      <c r="A90" s="2">
        <v>25294</v>
      </c>
      <c r="B90">
        <v>286</v>
      </c>
    </row>
    <row r="91" spans="1:2" x14ac:dyDescent="0.2">
      <c r="A91" s="2">
        <v>25324</v>
      </c>
      <c r="B91">
        <v>279</v>
      </c>
    </row>
    <row r="92" spans="1:2" x14ac:dyDescent="0.2">
      <c r="A92" s="2">
        <v>25355</v>
      </c>
      <c r="B92">
        <v>309</v>
      </c>
    </row>
    <row r="93" spans="1:2" x14ac:dyDescent="0.2">
      <c r="A93" s="2">
        <v>25385</v>
      </c>
      <c r="B93">
        <v>401</v>
      </c>
    </row>
    <row r="94" spans="1:2" x14ac:dyDescent="0.2">
      <c r="A94" s="2">
        <v>25416</v>
      </c>
      <c r="B94">
        <v>309</v>
      </c>
    </row>
    <row r="95" spans="1:2" x14ac:dyDescent="0.2">
      <c r="A95" s="2">
        <v>25447</v>
      </c>
      <c r="B95">
        <v>328</v>
      </c>
    </row>
    <row r="96" spans="1:2" x14ac:dyDescent="0.2">
      <c r="A96" s="2">
        <v>25477</v>
      </c>
      <c r="B96">
        <v>353</v>
      </c>
    </row>
    <row r="97" spans="1:2" x14ac:dyDescent="0.2">
      <c r="A97" s="2">
        <v>25508</v>
      </c>
      <c r="B97">
        <v>354</v>
      </c>
    </row>
    <row r="98" spans="1:2" x14ac:dyDescent="0.2">
      <c r="A98" s="2">
        <v>25538</v>
      </c>
      <c r="B98">
        <v>327</v>
      </c>
    </row>
    <row r="99" spans="1:2" x14ac:dyDescent="0.2">
      <c r="A99" s="2">
        <v>25569</v>
      </c>
      <c r="B99">
        <v>324</v>
      </c>
    </row>
    <row r="100" spans="1:2" x14ac:dyDescent="0.2">
      <c r="A100" s="2">
        <v>25600</v>
      </c>
      <c r="B100">
        <v>285</v>
      </c>
    </row>
    <row r="101" spans="1:2" x14ac:dyDescent="0.2">
      <c r="A101" s="2">
        <v>25628</v>
      </c>
      <c r="B101">
        <v>243</v>
      </c>
    </row>
    <row r="102" spans="1:2" x14ac:dyDescent="0.2">
      <c r="A102" s="2">
        <v>25659</v>
      </c>
      <c r="B102">
        <v>241</v>
      </c>
    </row>
    <row r="103" spans="1:2" x14ac:dyDescent="0.2">
      <c r="A103" s="2">
        <v>25689</v>
      </c>
      <c r="B103">
        <v>287</v>
      </c>
    </row>
    <row r="104" spans="1:2" x14ac:dyDescent="0.2">
      <c r="A104" s="2">
        <v>25720</v>
      </c>
      <c r="B104">
        <v>355</v>
      </c>
    </row>
    <row r="105" spans="1:2" x14ac:dyDescent="0.2">
      <c r="A105" s="2">
        <v>25750</v>
      </c>
      <c r="B105">
        <v>460</v>
      </c>
    </row>
    <row r="106" spans="1:2" x14ac:dyDescent="0.2">
      <c r="A106" s="2">
        <v>25781</v>
      </c>
      <c r="B106">
        <v>364</v>
      </c>
    </row>
    <row r="107" spans="1:2" x14ac:dyDescent="0.2">
      <c r="A107" s="2">
        <v>25812</v>
      </c>
      <c r="B107">
        <v>487</v>
      </c>
    </row>
    <row r="108" spans="1:2" x14ac:dyDescent="0.2">
      <c r="A108" s="2">
        <v>25842</v>
      </c>
      <c r="B108">
        <v>452</v>
      </c>
    </row>
    <row r="109" spans="1:2" x14ac:dyDescent="0.2">
      <c r="A109" s="2">
        <v>25873</v>
      </c>
      <c r="B109">
        <v>391</v>
      </c>
    </row>
    <row r="110" spans="1:2" x14ac:dyDescent="0.2">
      <c r="A110" s="2">
        <v>25903</v>
      </c>
      <c r="B110">
        <v>500</v>
      </c>
    </row>
    <row r="111" spans="1:2" x14ac:dyDescent="0.2">
      <c r="A111" s="2">
        <v>25934</v>
      </c>
      <c r="B111">
        <v>451</v>
      </c>
    </row>
    <row r="112" spans="1:2" x14ac:dyDescent="0.2">
      <c r="A112" s="2">
        <v>25965</v>
      </c>
      <c r="B112">
        <v>375</v>
      </c>
    </row>
    <row r="113" spans="1:2" x14ac:dyDescent="0.2">
      <c r="A113" s="2">
        <v>25993</v>
      </c>
      <c r="B113">
        <v>372</v>
      </c>
    </row>
    <row r="114" spans="1:2" x14ac:dyDescent="0.2">
      <c r="A114" s="2">
        <v>26024</v>
      </c>
      <c r="B114">
        <v>302</v>
      </c>
    </row>
    <row r="115" spans="1:2" x14ac:dyDescent="0.2">
      <c r="A115" s="2">
        <v>26054</v>
      </c>
      <c r="B115">
        <v>316</v>
      </c>
    </row>
    <row r="116" spans="1:2" x14ac:dyDescent="0.2">
      <c r="A116" s="2">
        <v>26085</v>
      </c>
      <c r="B116">
        <v>398</v>
      </c>
    </row>
    <row r="117" spans="1:2" x14ac:dyDescent="0.2">
      <c r="A117" s="2">
        <v>26115</v>
      </c>
      <c r="B117">
        <v>394</v>
      </c>
    </row>
    <row r="118" spans="1:2" x14ac:dyDescent="0.2">
      <c r="A118" s="2">
        <v>26146</v>
      </c>
      <c r="B118">
        <v>431</v>
      </c>
    </row>
    <row r="119" spans="1:2" x14ac:dyDescent="0.2">
      <c r="A119" s="2">
        <v>26177</v>
      </c>
      <c r="B119">
        <v>431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workbookViewId="0">
      <selection activeCell="K5" sqref="K5"/>
    </sheetView>
  </sheetViews>
  <sheetFormatPr baseColWidth="10" defaultRowHeight="16" x14ac:dyDescent="0.2"/>
  <cols>
    <col min="1" max="1" width="7.5" bestFit="1" customWidth="1"/>
    <col min="2" max="2" width="5" bestFit="1" customWidth="1"/>
  </cols>
  <sheetData>
    <row r="1" spans="1:9" x14ac:dyDescent="0.2">
      <c r="A1" s="3" t="s">
        <v>0</v>
      </c>
      <c r="B1" s="3" t="s">
        <v>1</v>
      </c>
      <c r="C1" s="1" t="s">
        <v>5</v>
      </c>
      <c r="G1" t="s">
        <v>9</v>
      </c>
    </row>
    <row r="2" spans="1:9" x14ac:dyDescent="0.2">
      <c r="A2" s="4">
        <v>22616</v>
      </c>
      <c r="B2" s="10">
        <v>41</v>
      </c>
      <c r="C2">
        <f>B2</f>
        <v>41</v>
      </c>
      <c r="H2" t="s">
        <v>6</v>
      </c>
      <c r="I2" s="22">
        <v>0.7</v>
      </c>
    </row>
    <row r="3" spans="1:9" x14ac:dyDescent="0.2">
      <c r="A3" s="4">
        <v>22647</v>
      </c>
      <c r="B3" s="10">
        <v>39</v>
      </c>
      <c r="C3" s="9">
        <f>B2*$I$2 + (C2*$I$3)</f>
        <v>41</v>
      </c>
      <c r="H3" t="s">
        <v>10</v>
      </c>
      <c r="I3">
        <f>1-I2</f>
        <v>0.30000000000000004</v>
      </c>
    </row>
    <row r="4" spans="1:9" x14ac:dyDescent="0.2">
      <c r="A4" s="4">
        <v>22678</v>
      </c>
      <c r="B4" s="10">
        <v>50</v>
      </c>
      <c r="C4" s="9">
        <f t="shared" ref="C4:C67" si="0">B3*$I$2 + (C3*$I$3)</f>
        <v>39.6</v>
      </c>
    </row>
    <row r="5" spans="1:9" x14ac:dyDescent="0.2">
      <c r="A5" s="4">
        <v>22706</v>
      </c>
      <c r="B5" s="5">
        <v>40</v>
      </c>
      <c r="C5" s="9">
        <f>B4*$I$2 + (C4*$I$3)</f>
        <v>46.88</v>
      </c>
    </row>
    <row r="6" spans="1:9" x14ac:dyDescent="0.2">
      <c r="A6" s="4">
        <v>22737</v>
      </c>
      <c r="B6" s="5">
        <v>43</v>
      </c>
      <c r="C6" s="9">
        <f t="shared" si="0"/>
        <v>42.064000000000007</v>
      </c>
    </row>
    <row r="7" spans="1:9" x14ac:dyDescent="0.2">
      <c r="A7" s="4">
        <v>22767</v>
      </c>
      <c r="B7" s="5">
        <v>38</v>
      </c>
      <c r="C7" s="9">
        <f t="shared" si="0"/>
        <v>42.719200000000001</v>
      </c>
    </row>
    <row r="8" spans="1:9" x14ac:dyDescent="0.2">
      <c r="A8" s="4">
        <v>22798</v>
      </c>
      <c r="B8" s="12">
        <v>44</v>
      </c>
      <c r="C8" s="9">
        <f t="shared" si="0"/>
        <v>39.415759999999999</v>
      </c>
    </row>
    <row r="9" spans="1:9" x14ac:dyDescent="0.2">
      <c r="A9" s="4">
        <v>22828</v>
      </c>
      <c r="B9" s="12">
        <v>35</v>
      </c>
      <c r="C9" s="9">
        <f t="shared" si="0"/>
        <v>42.624727999999998</v>
      </c>
    </row>
    <row r="10" spans="1:9" x14ac:dyDescent="0.2">
      <c r="A10" s="4">
        <v>22859</v>
      </c>
      <c r="B10" s="12">
        <v>39</v>
      </c>
      <c r="C10" s="9">
        <f t="shared" si="0"/>
        <v>37.2874184</v>
      </c>
    </row>
    <row r="11" spans="1:9" x14ac:dyDescent="0.2">
      <c r="A11" s="4">
        <v>22890</v>
      </c>
      <c r="B11" s="12">
        <v>35</v>
      </c>
      <c r="C11" s="9">
        <f t="shared" si="0"/>
        <v>38.486225519999998</v>
      </c>
    </row>
    <row r="12" spans="1:9" x14ac:dyDescent="0.2">
      <c r="A12" s="4">
        <v>22920</v>
      </c>
      <c r="B12" s="12">
        <v>29</v>
      </c>
      <c r="C12" s="9">
        <f t="shared" si="0"/>
        <v>36.045867655999999</v>
      </c>
    </row>
    <row r="13" spans="1:9" x14ac:dyDescent="0.2">
      <c r="A13" s="4">
        <v>22951</v>
      </c>
      <c r="B13" s="5">
        <v>49</v>
      </c>
      <c r="C13" s="9">
        <f t="shared" si="0"/>
        <v>31.113760296799999</v>
      </c>
    </row>
    <row r="14" spans="1:9" x14ac:dyDescent="0.2">
      <c r="A14" s="4">
        <v>22981</v>
      </c>
      <c r="B14" s="5">
        <v>50</v>
      </c>
      <c r="C14" s="9">
        <f t="shared" si="0"/>
        <v>43.634128089039997</v>
      </c>
    </row>
    <row r="15" spans="1:9" x14ac:dyDescent="0.2">
      <c r="A15" s="4">
        <v>23012</v>
      </c>
      <c r="B15" s="5">
        <v>59</v>
      </c>
      <c r="C15" s="9">
        <f t="shared" si="0"/>
        <v>48.090238426711998</v>
      </c>
    </row>
    <row r="16" spans="1:9" x14ac:dyDescent="0.2">
      <c r="A16" s="4">
        <v>23043</v>
      </c>
      <c r="B16" s="5">
        <v>63</v>
      </c>
      <c r="C16" s="9">
        <f t="shared" si="0"/>
        <v>55.727071528013596</v>
      </c>
    </row>
    <row r="17" spans="1:3" x14ac:dyDescent="0.2">
      <c r="A17" s="4">
        <v>23071</v>
      </c>
      <c r="B17" s="14">
        <v>32</v>
      </c>
      <c r="C17" s="9">
        <f t="shared" si="0"/>
        <v>60.818121458404079</v>
      </c>
    </row>
    <row r="18" spans="1:3" x14ac:dyDescent="0.2">
      <c r="A18" s="4">
        <v>23102</v>
      </c>
      <c r="B18" s="14">
        <v>39</v>
      </c>
      <c r="C18" s="9">
        <f t="shared" si="0"/>
        <v>40.645436437521226</v>
      </c>
    </row>
    <row r="19" spans="1:3" x14ac:dyDescent="0.2">
      <c r="A19" s="4">
        <v>23132</v>
      </c>
      <c r="B19" s="14">
        <v>47</v>
      </c>
      <c r="C19" s="9">
        <f t="shared" si="0"/>
        <v>39.493630931256369</v>
      </c>
    </row>
    <row r="20" spans="1:3" x14ac:dyDescent="0.2">
      <c r="A20" s="4">
        <v>23163</v>
      </c>
      <c r="B20" s="14">
        <v>53</v>
      </c>
      <c r="C20" s="9">
        <f t="shared" si="0"/>
        <v>44.748089279376913</v>
      </c>
    </row>
    <row r="21" spans="1:3" x14ac:dyDescent="0.2">
      <c r="A21" s="4">
        <v>23193</v>
      </c>
      <c r="B21" s="14">
        <v>60</v>
      </c>
      <c r="C21" s="9">
        <f t="shared" si="0"/>
        <v>50.52442678381307</v>
      </c>
    </row>
    <row r="22" spans="1:3" x14ac:dyDescent="0.2">
      <c r="A22" s="4">
        <v>23224</v>
      </c>
      <c r="B22" s="14">
        <v>57</v>
      </c>
      <c r="C22" s="9">
        <f t="shared" si="0"/>
        <v>57.157328035143919</v>
      </c>
    </row>
    <row r="23" spans="1:3" x14ac:dyDescent="0.2">
      <c r="A23" s="4">
        <v>23255</v>
      </c>
      <c r="B23" s="14">
        <v>52</v>
      </c>
      <c r="C23" s="9">
        <f t="shared" si="0"/>
        <v>57.047198410543174</v>
      </c>
    </row>
    <row r="24" spans="1:3" x14ac:dyDescent="0.2">
      <c r="A24" s="4">
        <v>23285</v>
      </c>
      <c r="B24" s="14">
        <v>70</v>
      </c>
      <c r="C24" s="9">
        <f t="shared" si="0"/>
        <v>53.514159523162952</v>
      </c>
    </row>
    <row r="25" spans="1:3" x14ac:dyDescent="0.2">
      <c r="A25" s="4">
        <v>23316</v>
      </c>
      <c r="B25" s="14">
        <v>90</v>
      </c>
      <c r="C25" s="9">
        <f>B24*$I$2 + (C24*$I$3)</f>
        <v>65.054247856948891</v>
      </c>
    </row>
    <row r="26" spans="1:3" x14ac:dyDescent="0.2">
      <c r="A26" s="2">
        <v>23346</v>
      </c>
      <c r="B26">
        <v>74</v>
      </c>
      <c r="C26" s="9">
        <f t="shared" si="0"/>
        <v>82.516274357084654</v>
      </c>
    </row>
    <row r="27" spans="1:3" x14ac:dyDescent="0.2">
      <c r="A27" s="2">
        <v>23377</v>
      </c>
      <c r="B27">
        <v>62</v>
      </c>
      <c r="C27" s="9">
        <f t="shared" si="0"/>
        <v>76.554882307125396</v>
      </c>
    </row>
    <row r="28" spans="1:3" x14ac:dyDescent="0.2">
      <c r="A28" s="2">
        <v>23408</v>
      </c>
      <c r="B28">
        <v>55</v>
      </c>
      <c r="C28" s="9">
        <f t="shared" si="0"/>
        <v>66.366464692137626</v>
      </c>
    </row>
    <row r="29" spans="1:3" x14ac:dyDescent="0.2">
      <c r="A29" s="2">
        <v>23437</v>
      </c>
      <c r="B29">
        <v>84</v>
      </c>
      <c r="C29" s="9">
        <f t="shared" si="0"/>
        <v>58.409939407641289</v>
      </c>
    </row>
    <row r="30" spans="1:3" x14ac:dyDescent="0.2">
      <c r="A30" s="2">
        <v>23468</v>
      </c>
      <c r="B30">
        <v>94</v>
      </c>
      <c r="C30" s="9">
        <f t="shared" si="0"/>
        <v>76.322981822292391</v>
      </c>
    </row>
    <row r="31" spans="1:3" x14ac:dyDescent="0.2">
      <c r="A31" s="2">
        <v>23498</v>
      </c>
      <c r="B31">
        <v>70</v>
      </c>
      <c r="C31" s="9">
        <f t="shared" si="0"/>
        <v>88.696894546687716</v>
      </c>
    </row>
    <row r="32" spans="1:3" x14ac:dyDescent="0.2">
      <c r="A32" s="2">
        <v>23529</v>
      </c>
      <c r="B32">
        <v>108</v>
      </c>
      <c r="C32" s="9">
        <f t="shared" si="0"/>
        <v>75.609068364006319</v>
      </c>
    </row>
    <row r="33" spans="1:3" x14ac:dyDescent="0.2">
      <c r="A33" s="2">
        <v>23559</v>
      </c>
      <c r="B33">
        <v>139</v>
      </c>
      <c r="C33" s="9">
        <f t="shared" si="0"/>
        <v>98.282720509201894</v>
      </c>
    </row>
    <row r="34" spans="1:3" x14ac:dyDescent="0.2">
      <c r="A34" s="2">
        <v>23590</v>
      </c>
      <c r="B34">
        <v>120</v>
      </c>
      <c r="C34" s="9">
        <f t="shared" si="0"/>
        <v>126.78481615276057</v>
      </c>
    </row>
    <row r="35" spans="1:3" x14ac:dyDescent="0.2">
      <c r="A35" s="2">
        <v>23621</v>
      </c>
      <c r="B35">
        <v>97</v>
      </c>
      <c r="C35" s="9">
        <f t="shared" si="0"/>
        <v>122.03544484582818</v>
      </c>
    </row>
    <row r="36" spans="1:3" x14ac:dyDescent="0.2">
      <c r="A36" s="2">
        <v>23651</v>
      </c>
      <c r="B36">
        <v>126</v>
      </c>
      <c r="C36" s="9">
        <f t="shared" si="0"/>
        <v>104.51063345374845</v>
      </c>
    </row>
    <row r="37" spans="1:3" x14ac:dyDescent="0.2">
      <c r="A37" s="2">
        <v>23682</v>
      </c>
      <c r="B37">
        <v>149</v>
      </c>
      <c r="C37" s="9">
        <f t="shared" si="0"/>
        <v>119.55319003612453</v>
      </c>
    </row>
    <row r="38" spans="1:3" x14ac:dyDescent="0.2">
      <c r="A38" s="2">
        <v>23712</v>
      </c>
      <c r="B38">
        <v>158</v>
      </c>
      <c r="C38" s="9">
        <f t="shared" si="0"/>
        <v>140.16595701083736</v>
      </c>
    </row>
    <row r="39" spans="1:3" x14ac:dyDescent="0.2">
      <c r="A39" s="2">
        <v>23743</v>
      </c>
      <c r="B39">
        <v>124</v>
      </c>
      <c r="C39" s="9">
        <f t="shared" si="0"/>
        <v>152.64978710325121</v>
      </c>
    </row>
    <row r="40" spans="1:3" x14ac:dyDescent="0.2">
      <c r="A40" s="2">
        <v>23774</v>
      </c>
      <c r="B40">
        <v>140</v>
      </c>
      <c r="C40" s="9">
        <f t="shared" si="0"/>
        <v>132.59493613097538</v>
      </c>
    </row>
    <row r="41" spans="1:3" x14ac:dyDescent="0.2">
      <c r="A41" s="2">
        <v>23802</v>
      </c>
      <c r="B41">
        <v>109</v>
      </c>
      <c r="C41" s="9">
        <f t="shared" si="0"/>
        <v>137.77848083929263</v>
      </c>
    </row>
    <row r="42" spans="1:3" x14ac:dyDescent="0.2">
      <c r="A42" s="2">
        <v>23833</v>
      </c>
      <c r="B42">
        <v>114</v>
      </c>
      <c r="C42" s="9">
        <f t="shared" si="0"/>
        <v>117.63354425178778</v>
      </c>
    </row>
    <row r="43" spans="1:3" x14ac:dyDescent="0.2">
      <c r="A43" s="2">
        <v>23863</v>
      </c>
      <c r="B43">
        <v>77</v>
      </c>
      <c r="C43" s="9">
        <f t="shared" si="0"/>
        <v>115.09006327553634</v>
      </c>
    </row>
    <row r="44" spans="1:3" x14ac:dyDescent="0.2">
      <c r="A44" s="2">
        <v>23894</v>
      </c>
      <c r="B44">
        <v>120</v>
      </c>
      <c r="C44" s="9">
        <f t="shared" si="0"/>
        <v>88.427018982660911</v>
      </c>
    </row>
    <row r="45" spans="1:3" x14ac:dyDescent="0.2">
      <c r="A45" s="2">
        <v>23924</v>
      </c>
      <c r="B45">
        <v>133</v>
      </c>
      <c r="C45" s="9">
        <f t="shared" si="0"/>
        <v>110.52810569479828</v>
      </c>
    </row>
    <row r="46" spans="1:3" x14ac:dyDescent="0.2">
      <c r="A46" s="2">
        <v>23955</v>
      </c>
      <c r="B46">
        <v>110</v>
      </c>
      <c r="C46" s="9">
        <f t="shared" si="0"/>
        <v>126.25843170843947</v>
      </c>
    </row>
    <row r="47" spans="1:3" x14ac:dyDescent="0.2">
      <c r="A47" s="2">
        <v>23986</v>
      </c>
      <c r="B47">
        <v>92</v>
      </c>
      <c r="C47" s="9">
        <f t="shared" si="0"/>
        <v>114.87752951253185</v>
      </c>
    </row>
    <row r="48" spans="1:3" x14ac:dyDescent="0.2">
      <c r="A48" s="2">
        <v>24016</v>
      </c>
      <c r="B48">
        <v>97</v>
      </c>
      <c r="C48" s="9">
        <f t="shared" si="0"/>
        <v>98.863258853759561</v>
      </c>
    </row>
    <row r="49" spans="1:3" x14ac:dyDescent="0.2">
      <c r="A49" s="2">
        <v>24047</v>
      </c>
      <c r="B49">
        <v>78</v>
      </c>
      <c r="C49" s="9">
        <f t="shared" si="0"/>
        <v>97.558977656127865</v>
      </c>
    </row>
    <row r="50" spans="1:3" x14ac:dyDescent="0.2">
      <c r="A50" s="2">
        <v>24077</v>
      </c>
      <c r="B50">
        <v>99</v>
      </c>
      <c r="C50" s="9">
        <f t="shared" si="0"/>
        <v>83.867693296838354</v>
      </c>
    </row>
    <row r="51" spans="1:3" x14ac:dyDescent="0.2">
      <c r="A51" s="2">
        <v>24108</v>
      </c>
      <c r="B51">
        <v>107</v>
      </c>
      <c r="C51" s="9">
        <f t="shared" si="0"/>
        <v>94.4603079890515</v>
      </c>
    </row>
    <row r="52" spans="1:3" x14ac:dyDescent="0.2">
      <c r="A52" s="2">
        <v>24139</v>
      </c>
      <c r="B52">
        <v>112</v>
      </c>
      <c r="C52" s="9">
        <f t="shared" si="0"/>
        <v>103.23809239671544</v>
      </c>
    </row>
    <row r="53" spans="1:3" x14ac:dyDescent="0.2">
      <c r="A53" s="2">
        <v>24167</v>
      </c>
      <c r="B53">
        <v>90</v>
      </c>
      <c r="C53" s="9">
        <f t="shared" si="0"/>
        <v>109.37142771901463</v>
      </c>
    </row>
    <row r="54" spans="1:3" x14ac:dyDescent="0.2">
      <c r="A54" s="2">
        <v>24198</v>
      </c>
      <c r="B54">
        <v>98</v>
      </c>
      <c r="C54" s="9">
        <f t="shared" si="0"/>
        <v>95.81142831570439</v>
      </c>
    </row>
    <row r="55" spans="1:3" x14ac:dyDescent="0.2">
      <c r="A55" s="2">
        <v>24228</v>
      </c>
      <c r="B55">
        <v>125</v>
      </c>
      <c r="C55" s="9">
        <f t="shared" si="0"/>
        <v>97.343428494711318</v>
      </c>
    </row>
    <row r="56" spans="1:3" x14ac:dyDescent="0.2">
      <c r="A56" s="2">
        <v>24259</v>
      </c>
      <c r="B56">
        <v>155</v>
      </c>
      <c r="C56" s="9">
        <f t="shared" si="0"/>
        <v>116.7030285484134</v>
      </c>
    </row>
    <row r="57" spans="1:3" x14ac:dyDescent="0.2">
      <c r="A57" s="2">
        <v>24289</v>
      </c>
      <c r="B57">
        <v>190</v>
      </c>
      <c r="C57" s="9">
        <f t="shared" si="0"/>
        <v>143.51090856452402</v>
      </c>
    </row>
    <row r="58" spans="1:3" x14ac:dyDescent="0.2">
      <c r="A58" s="2">
        <v>24320</v>
      </c>
      <c r="B58">
        <v>236</v>
      </c>
      <c r="C58" s="9">
        <f t="shared" si="0"/>
        <v>176.0532725693572</v>
      </c>
    </row>
    <row r="59" spans="1:3" x14ac:dyDescent="0.2">
      <c r="A59" s="2">
        <v>24351</v>
      </c>
      <c r="B59">
        <v>189</v>
      </c>
      <c r="C59" s="9">
        <f t="shared" si="0"/>
        <v>218.01598177080717</v>
      </c>
    </row>
    <row r="60" spans="1:3" x14ac:dyDescent="0.2">
      <c r="A60" s="2">
        <v>24381</v>
      </c>
      <c r="B60">
        <v>174</v>
      </c>
      <c r="C60" s="9">
        <f t="shared" si="0"/>
        <v>197.70479453124216</v>
      </c>
    </row>
    <row r="61" spans="1:3" x14ac:dyDescent="0.2">
      <c r="A61" s="2">
        <v>24412</v>
      </c>
      <c r="B61">
        <v>178</v>
      </c>
      <c r="C61" s="9">
        <f t="shared" si="0"/>
        <v>181.11143835937264</v>
      </c>
    </row>
    <row r="62" spans="1:3" x14ac:dyDescent="0.2">
      <c r="A62" s="2">
        <v>24442</v>
      </c>
      <c r="B62">
        <v>136</v>
      </c>
      <c r="C62" s="9">
        <f t="shared" si="0"/>
        <v>178.9334315078118</v>
      </c>
    </row>
    <row r="63" spans="1:3" x14ac:dyDescent="0.2">
      <c r="A63" s="2">
        <v>24473</v>
      </c>
      <c r="B63">
        <v>161</v>
      </c>
      <c r="C63" s="9">
        <f t="shared" si="0"/>
        <v>148.88002945234354</v>
      </c>
    </row>
    <row r="64" spans="1:3" x14ac:dyDescent="0.2">
      <c r="A64" s="2">
        <v>24504</v>
      </c>
      <c r="B64">
        <v>171</v>
      </c>
      <c r="C64" s="9">
        <f t="shared" si="0"/>
        <v>157.36400883570306</v>
      </c>
    </row>
    <row r="65" spans="1:3" x14ac:dyDescent="0.2">
      <c r="A65" s="2">
        <v>24532</v>
      </c>
      <c r="B65">
        <v>149</v>
      </c>
      <c r="C65" s="9">
        <f t="shared" si="0"/>
        <v>166.90920265071091</v>
      </c>
    </row>
    <row r="66" spans="1:3" x14ac:dyDescent="0.2">
      <c r="A66" s="2">
        <v>24563</v>
      </c>
      <c r="B66">
        <v>184</v>
      </c>
      <c r="C66" s="9">
        <f t="shared" si="0"/>
        <v>154.37276079521328</v>
      </c>
    </row>
    <row r="67" spans="1:3" x14ac:dyDescent="0.2">
      <c r="A67" s="2">
        <v>24593</v>
      </c>
      <c r="B67">
        <v>155</v>
      </c>
      <c r="C67" s="9">
        <f t="shared" si="0"/>
        <v>175.11182823856399</v>
      </c>
    </row>
    <row r="68" spans="1:3" x14ac:dyDescent="0.2">
      <c r="A68" s="2">
        <v>24624</v>
      </c>
      <c r="B68">
        <v>276</v>
      </c>
      <c r="C68" s="9">
        <f t="shared" ref="C68:C119" si="1">B67*$I$2 + (C67*$I$3)</f>
        <v>161.03354847156919</v>
      </c>
    </row>
    <row r="69" spans="1:3" x14ac:dyDescent="0.2">
      <c r="A69" s="2">
        <v>24654</v>
      </c>
      <c r="B69">
        <v>224</v>
      </c>
      <c r="C69" s="9">
        <f t="shared" si="1"/>
        <v>241.51006454147074</v>
      </c>
    </row>
    <row r="70" spans="1:3" x14ac:dyDescent="0.2">
      <c r="A70" s="2">
        <v>24685</v>
      </c>
      <c r="B70">
        <v>213</v>
      </c>
      <c r="C70" s="9">
        <f t="shared" si="1"/>
        <v>229.25301936244122</v>
      </c>
    </row>
    <row r="71" spans="1:3" x14ac:dyDescent="0.2">
      <c r="A71" s="2">
        <v>24716</v>
      </c>
      <c r="B71">
        <v>279</v>
      </c>
      <c r="C71" s="9">
        <f t="shared" si="1"/>
        <v>217.87590580873237</v>
      </c>
    </row>
    <row r="72" spans="1:3" x14ac:dyDescent="0.2">
      <c r="A72" s="2">
        <v>24746</v>
      </c>
      <c r="B72">
        <v>268</v>
      </c>
      <c r="C72" s="9">
        <f t="shared" si="1"/>
        <v>260.66277174261973</v>
      </c>
    </row>
    <row r="73" spans="1:3" x14ac:dyDescent="0.2">
      <c r="A73" s="2">
        <v>24777</v>
      </c>
      <c r="B73">
        <v>287</v>
      </c>
      <c r="C73" s="9">
        <f t="shared" si="1"/>
        <v>265.79883152278592</v>
      </c>
    </row>
    <row r="74" spans="1:3" x14ac:dyDescent="0.2">
      <c r="A74" s="2">
        <v>24807</v>
      </c>
      <c r="B74">
        <v>238</v>
      </c>
      <c r="C74" s="9">
        <f t="shared" si="1"/>
        <v>280.63964945683574</v>
      </c>
    </row>
    <row r="75" spans="1:3" x14ac:dyDescent="0.2">
      <c r="A75" s="2">
        <v>24838</v>
      </c>
      <c r="B75">
        <v>213</v>
      </c>
      <c r="C75" s="9">
        <f t="shared" si="1"/>
        <v>250.79189483705073</v>
      </c>
    </row>
    <row r="76" spans="1:3" x14ac:dyDescent="0.2">
      <c r="A76" s="2">
        <v>24869</v>
      </c>
      <c r="B76">
        <v>257</v>
      </c>
      <c r="C76" s="9">
        <f t="shared" si="1"/>
        <v>224.33756845111523</v>
      </c>
    </row>
    <row r="77" spans="1:3" x14ac:dyDescent="0.2">
      <c r="A77" s="2">
        <v>24898</v>
      </c>
      <c r="B77">
        <v>293</v>
      </c>
      <c r="C77" s="9">
        <f t="shared" si="1"/>
        <v>247.20127053533457</v>
      </c>
    </row>
    <row r="78" spans="1:3" x14ac:dyDescent="0.2">
      <c r="A78" s="2">
        <v>24929</v>
      </c>
      <c r="B78">
        <v>212</v>
      </c>
      <c r="C78" s="9">
        <f t="shared" si="1"/>
        <v>279.26038116060039</v>
      </c>
    </row>
    <row r="79" spans="1:3" x14ac:dyDescent="0.2">
      <c r="A79" s="2">
        <v>24959</v>
      </c>
      <c r="B79">
        <v>246</v>
      </c>
      <c r="C79" s="9">
        <f t="shared" si="1"/>
        <v>232.17811434818009</v>
      </c>
    </row>
    <row r="80" spans="1:3" x14ac:dyDescent="0.2">
      <c r="A80" s="2">
        <v>24990</v>
      </c>
      <c r="B80">
        <v>353</v>
      </c>
      <c r="C80" s="9">
        <f t="shared" si="1"/>
        <v>241.85343430445403</v>
      </c>
    </row>
    <row r="81" spans="1:3" x14ac:dyDescent="0.2">
      <c r="A81" s="2">
        <v>25020</v>
      </c>
      <c r="B81">
        <v>339</v>
      </c>
      <c r="C81" s="9">
        <f t="shared" si="1"/>
        <v>319.65603029133621</v>
      </c>
    </row>
    <row r="82" spans="1:3" x14ac:dyDescent="0.2">
      <c r="A82" s="2">
        <v>25051</v>
      </c>
      <c r="B82">
        <v>308</v>
      </c>
      <c r="C82" s="9">
        <f t="shared" si="1"/>
        <v>333.19680908740088</v>
      </c>
    </row>
    <row r="83" spans="1:3" x14ac:dyDescent="0.2">
      <c r="A83" s="2">
        <v>25082</v>
      </c>
      <c r="B83">
        <v>247</v>
      </c>
      <c r="C83" s="9">
        <f t="shared" si="1"/>
        <v>315.55904272622024</v>
      </c>
    </row>
    <row r="84" spans="1:3" x14ac:dyDescent="0.2">
      <c r="A84" s="2">
        <v>25112</v>
      </c>
      <c r="B84">
        <v>257</v>
      </c>
      <c r="C84" s="9">
        <f t="shared" si="1"/>
        <v>267.5677128178661</v>
      </c>
    </row>
    <row r="85" spans="1:3" x14ac:dyDescent="0.2">
      <c r="A85" s="2">
        <v>25143</v>
      </c>
      <c r="B85">
        <v>322</v>
      </c>
      <c r="C85" s="9">
        <f t="shared" si="1"/>
        <v>260.17031384535983</v>
      </c>
    </row>
    <row r="86" spans="1:3" x14ac:dyDescent="0.2">
      <c r="A86" s="2">
        <v>25173</v>
      </c>
      <c r="B86">
        <v>298</v>
      </c>
      <c r="C86" s="9">
        <f t="shared" si="1"/>
        <v>303.45109415360793</v>
      </c>
    </row>
    <row r="87" spans="1:3" x14ac:dyDescent="0.2">
      <c r="A87" s="2">
        <v>25204</v>
      </c>
      <c r="B87">
        <v>273</v>
      </c>
      <c r="C87" s="9">
        <f t="shared" si="1"/>
        <v>299.63532824608239</v>
      </c>
    </row>
    <row r="88" spans="1:3" x14ac:dyDescent="0.2">
      <c r="A88" s="2">
        <v>25235</v>
      </c>
      <c r="B88">
        <v>312</v>
      </c>
      <c r="C88" s="9">
        <f t="shared" si="1"/>
        <v>280.99059847382472</v>
      </c>
    </row>
    <row r="89" spans="1:3" x14ac:dyDescent="0.2">
      <c r="A89" s="2">
        <v>25263</v>
      </c>
      <c r="B89">
        <v>249</v>
      </c>
      <c r="C89" s="9">
        <f t="shared" si="1"/>
        <v>302.69717954214741</v>
      </c>
    </row>
    <row r="90" spans="1:3" x14ac:dyDescent="0.2">
      <c r="A90" s="2">
        <v>25294</v>
      </c>
      <c r="B90">
        <v>286</v>
      </c>
      <c r="C90" s="9">
        <f t="shared" si="1"/>
        <v>265.10915386264423</v>
      </c>
    </row>
    <row r="91" spans="1:3" x14ac:dyDescent="0.2">
      <c r="A91" s="2">
        <v>25324</v>
      </c>
      <c r="B91">
        <v>279</v>
      </c>
      <c r="C91" s="9">
        <f t="shared" si="1"/>
        <v>279.73274615879325</v>
      </c>
    </row>
    <row r="92" spans="1:3" x14ac:dyDescent="0.2">
      <c r="A92" s="2">
        <v>25355</v>
      </c>
      <c r="B92">
        <v>309</v>
      </c>
      <c r="C92" s="9">
        <f t="shared" si="1"/>
        <v>279.21982384763794</v>
      </c>
    </row>
    <row r="93" spans="1:3" x14ac:dyDescent="0.2">
      <c r="A93" s="2">
        <v>25385</v>
      </c>
      <c r="B93">
        <v>401</v>
      </c>
      <c r="C93" s="9">
        <f t="shared" si="1"/>
        <v>300.06594715429139</v>
      </c>
    </row>
    <row r="94" spans="1:3" x14ac:dyDescent="0.2">
      <c r="A94" s="2">
        <v>25416</v>
      </c>
      <c r="B94">
        <v>309</v>
      </c>
      <c r="C94" s="9">
        <f t="shared" si="1"/>
        <v>370.71978414628745</v>
      </c>
    </row>
    <row r="95" spans="1:3" x14ac:dyDescent="0.2">
      <c r="A95" s="2">
        <v>25447</v>
      </c>
      <c r="B95">
        <v>328</v>
      </c>
      <c r="C95" s="9">
        <f t="shared" si="1"/>
        <v>327.51593524388625</v>
      </c>
    </row>
    <row r="96" spans="1:3" x14ac:dyDescent="0.2">
      <c r="A96" s="2">
        <v>25477</v>
      </c>
      <c r="B96">
        <v>353</v>
      </c>
      <c r="C96" s="9">
        <f t="shared" si="1"/>
        <v>327.8547805731659</v>
      </c>
    </row>
    <row r="97" spans="1:3" x14ac:dyDescent="0.2">
      <c r="A97" s="2">
        <v>25508</v>
      </c>
      <c r="B97">
        <v>354</v>
      </c>
      <c r="C97" s="9">
        <f t="shared" si="1"/>
        <v>345.45643417194981</v>
      </c>
    </row>
    <row r="98" spans="1:3" x14ac:dyDescent="0.2">
      <c r="A98" s="2">
        <v>25538</v>
      </c>
      <c r="B98">
        <v>327</v>
      </c>
      <c r="C98" s="9">
        <f t="shared" si="1"/>
        <v>351.43693025158495</v>
      </c>
    </row>
    <row r="99" spans="1:3" x14ac:dyDescent="0.2">
      <c r="A99" s="2">
        <v>25569</v>
      </c>
      <c r="B99">
        <v>324</v>
      </c>
      <c r="C99" s="9">
        <f t="shared" si="1"/>
        <v>334.33107907547549</v>
      </c>
    </row>
    <row r="100" spans="1:3" x14ac:dyDescent="0.2">
      <c r="A100" s="2">
        <v>25600</v>
      </c>
      <c r="B100">
        <v>285</v>
      </c>
      <c r="C100" s="9">
        <f t="shared" si="1"/>
        <v>327.09932372264262</v>
      </c>
    </row>
    <row r="101" spans="1:3" x14ac:dyDescent="0.2">
      <c r="A101" s="2">
        <v>25628</v>
      </c>
      <c r="B101">
        <v>243</v>
      </c>
      <c r="C101" s="9">
        <f t="shared" si="1"/>
        <v>297.62979711679282</v>
      </c>
    </row>
    <row r="102" spans="1:3" x14ac:dyDescent="0.2">
      <c r="A102" s="2">
        <v>25659</v>
      </c>
      <c r="B102">
        <v>241</v>
      </c>
      <c r="C102" s="9">
        <f t="shared" si="1"/>
        <v>259.38893913503784</v>
      </c>
    </row>
    <row r="103" spans="1:3" x14ac:dyDescent="0.2">
      <c r="A103" s="2">
        <v>25689</v>
      </c>
      <c r="B103">
        <v>287</v>
      </c>
      <c r="C103" s="9">
        <f t="shared" si="1"/>
        <v>246.51668174051136</v>
      </c>
    </row>
    <row r="104" spans="1:3" x14ac:dyDescent="0.2">
      <c r="A104" s="2">
        <v>25720</v>
      </c>
      <c r="B104">
        <v>355</v>
      </c>
      <c r="C104" s="9">
        <f t="shared" si="1"/>
        <v>274.85500452215342</v>
      </c>
    </row>
    <row r="105" spans="1:3" x14ac:dyDescent="0.2">
      <c r="A105" s="2">
        <v>25750</v>
      </c>
      <c r="B105">
        <v>460</v>
      </c>
      <c r="C105" s="9">
        <f t="shared" si="1"/>
        <v>330.95650135664602</v>
      </c>
    </row>
    <row r="106" spans="1:3" x14ac:dyDescent="0.2">
      <c r="A106" s="2">
        <v>25781</v>
      </c>
      <c r="B106">
        <v>364</v>
      </c>
      <c r="C106" s="9">
        <f t="shared" si="1"/>
        <v>421.28695040699381</v>
      </c>
    </row>
    <row r="107" spans="1:3" x14ac:dyDescent="0.2">
      <c r="A107" s="2">
        <v>25812</v>
      </c>
      <c r="B107">
        <v>487</v>
      </c>
      <c r="C107" s="9">
        <f t="shared" si="1"/>
        <v>381.18608512209812</v>
      </c>
    </row>
    <row r="108" spans="1:3" x14ac:dyDescent="0.2">
      <c r="A108" s="2">
        <v>25842</v>
      </c>
      <c r="B108">
        <v>452</v>
      </c>
      <c r="C108" s="9">
        <f t="shared" si="1"/>
        <v>455.25582553662946</v>
      </c>
    </row>
    <row r="109" spans="1:3" x14ac:dyDescent="0.2">
      <c r="A109" s="2">
        <v>25873</v>
      </c>
      <c r="B109">
        <v>391</v>
      </c>
      <c r="C109" s="9">
        <f t="shared" si="1"/>
        <v>452.97674766098885</v>
      </c>
    </row>
    <row r="110" spans="1:3" x14ac:dyDescent="0.2">
      <c r="A110" s="2">
        <v>25903</v>
      </c>
      <c r="B110">
        <v>500</v>
      </c>
      <c r="C110" s="9">
        <f t="shared" si="1"/>
        <v>409.59302429829665</v>
      </c>
    </row>
    <row r="111" spans="1:3" x14ac:dyDescent="0.2">
      <c r="A111" s="2">
        <v>25934</v>
      </c>
      <c r="B111">
        <v>451</v>
      </c>
      <c r="C111" s="9">
        <f t="shared" si="1"/>
        <v>472.87790728948903</v>
      </c>
    </row>
    <row r="112" spans="1:3" x14ac:dyDescent="0.2">
      <c r="A112" s="2">
        <v>25965</v>
      </c>
      <c r="B112">
        <v>375</v>
      </c>
      <c r="C112" s="9">
        <f t="shared" si="1"/>
        <v>457.56337218684672</v>
      </c>
    </row>
    <row r="113" spans="1:3" x14ac:dyDescent="0.2">
      <c r="A113" s="2">
        <v>25993</v>
      </c>
      <c r="B113">
        <v>372</v>
      </c>
      <c r="C113" s="9">
        <f t="shared" si="1"/>
        <v>399.76901165605403</v>
      </c>
    </row>
    <row r="114" spans="1:3" x14ac:dyDescent="0.2">
      <c r="A114" s="2">
        <v>26024</v>
      </c>
      <c r="B114">
        <v>302</v>
      </c>
      <c r="C114" s="9">
        <f t="shared" si="1"/>
        <v>380.33070349681623</v>
      </c>
    </row>
    <row r="115" spans="1:3" x14ac:dyDescent="0.2">
      <c r="A115" s="2">
        <v>26054</v>
      </c>
      <c r="B115">
        <v>316</v>
      </c>
      <c r="C115" s="9">
        <f t="shared" si="1"/>
        <v>325.49921104904485</v>
      </c>
    </row>
    <row r="116" spans="1:3" x14ac:dyDescent="0.2">
      <c r="A116" s="2">
        <v>26085</v>
      </c>
      <c r="B116">
        <v>398</v>
      </c>
      <c r="C116" s="9">
        <f t="shared" si="1"/>
        <v>318.84976331471347</v>
      </c>
    </row>
    <row r="117" spans="1:3" x14ac:dyDescent="0.2">
      <c r="A117" s="2">
        <v>26115</v>
      </c>
      <c r="B117">
        <v>394</v>
      </c>
      <c r="C117" s="9">
        <f t="shared" si="1"/>
        <v>374.254928994414</v>
      </c>
    </row>
    <row r="118" spans="1:3" x14ac:dyDescent="0.2">
      <c r="A118" s="2">
        <v>26146</v>
      </c>
      <c r="B118">
        <v>431</v>
      </c>
      <c r="C118" s="9">
        <f t="shared" si="1"/>
        <v>388.07647869832419</v>
      </c>
    </row>
    <row r="119" spans="1:3" x14ac:dyDescent="0.2">
      <c r="A119" s="2">
        <v>26177</v>
      </c>
      <c r="B119">
        <v>431</v>
      </c>
      <c r="C119" s="9">
        <f t="shared" si="1"/>
        <v>418.12294360949727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"/>
  <sheetViews>
    <sheetView workbookViewId="0">
      <selection activeCell="F27" sqref="F27"/>
    </sheetView>
  </sheetViews>
  <sheetFormatPr baseColWidth="10" defaultRowHeight="16" x14ac:dyDescent="0.2"/>
  <cols>
    <col min="1" max="1" width="7.5" style="19" bestFit="1" customWidth="1"/>
    <col min="2" max="2" width="5" style="21" bestFit="1" customWidth="1"/>
    <col min="3" max="4" width="10.83203125" style="18"/>
  </cols>
  <sheetData>
    <row r="1" spans="1:4" ht="34" x14ac:dyDescent="0.2">
      <c r="A1" s="15" t="s">
        <v>0</v>
      </c>
      <c r="B1" s="20" t="s">
        <v>1</v>
      </c>
      <c r="C1" s="16" t="s">
        <v>7</v>
      </c>
      <c r="D1" s="16" t="s">
        <v>8</v>
      </c>
    </row>
    <row r="2" spans="1:4" x14ac:dyDescent="0.2">
      <c r="A2" s="17">
        <v>22616</v>
      </c>
      <c r="B2" s="21">
        <v>41</v>
      </c>
    </row>
    <row r="3" spans="1:4" x14ac:dyDescent="0.2">
      <c r="A3" s="17">
        <v>22647</v>
      </c>
      <c r="B3" s="21">
        <v>39</v>
      </c>
      <c r="C3" s="18">
        <f>B3-B2</f>
        <v>-2</v>
      </c>
    </row>
    <row r="4" spans="1:4" x14ac:dyDescent="0.2">
      <c r="A4" s="17">
        <v>22678</v>
      </c>
      <c r="B4" s="21">
        <v>50</v>
      </c>
      <c r="C4" s="18">
        <f t="shared" ref="C4:C67" si="0">B4-B3</f>
        <v>11</v>
      </c>
      <c r="D4" s="18">
        <f>(B4-B3)-(B3-B2)</f>
        <v>13</v>
      </c>
    </row>
    <row r="5" spans="1:4" x14ac:dyDescent="0.2">
      <c r="A5" s="17">
        <v>22706</v>
      </c>
      <c r="B5" s="21">
        <v>40</v>
      </c>
      <c r="C5" s="18">
        <f t="shared" si="0"/>
        <v>-10</v>
      </c>
      <c r="D5" s="18">
        <f t="shared" ref="D5:D68" si="1">(B5-B4)-(B4-B3)</f>
        <v>-21</v>
      </c>
    </row>
    <row r="6" spans="1:4" x14ac:dyDescent="0.2">
      <c r="A6" s="17">
        <v>22737</v>
      </c>
      <c r="B6" s="21">
        <v>43</v>
      </c>
      <c r="C6" s="18">
        <f t="shared" si="0"/>
        <v>3</v>
      </c>
      <c r="D6" s="18">
        <f t="shared" si="1"/>
        <v>13</v>
      </c>
    </row>
    <row r="7" spans="1:4" x14ac:dyDescent="0.2">
      <c r="A7" s="17">
        <v>22767</v>
      </c>
      <c r="B7" s="21">
        <v>38</v>
      </c>
      <c r="C7" s="18">
        <f t="shared" si="0"/>
        <v>-5</v>
      </c>
      <c r="D7" s="18">
        <f t="shared" si="1"/>
        <v>-8</v>
      </c>
    </row>
    <row r="8" spans="1:4" x14ac:dyDescent="0.2">
      <c r="A8" s="17">
        <v>22798</v>
      </c>
      <c r="B8" s="21">
        <v>44</v>
      </c>
      <c r="C8" s="18">
        <f t="shared" si="0"/>
        <v>6</v>
      </c>
      <c r="D8" s="18">
        <f t="shared" si="1"/>
        <v>11</v>
      </c>
    </row>
    <row r="9" spans="1:4" x14ac:dyDescent="0.2">
      <c r="A9" s="17">
        <v>22828</v>
      </c>
      <c r="B9" s="21">
        <v>35</v>
      </c>
      <c r="C9" s="18">
        <f t="shared" si="0"/>
        <v>-9</v>
      </c>
      <c r="D9" s="18">
        <f t="shared" si="1"/>
        <v>-15</v>
      </c>
    </row>
    <row r="10" spans="1:4" x14ac:dyDescent="0.2">
      <c r="A10" s="17">
        <v>22859</v>
      </c>
      <c r="B10" s="21">
        <v>39</v>
      </c>
      <c r="C10" s="18">
        <f t="shared" si="0"/>
        <v>4</v>
      </c>
      <c r="D10" s="18">
        <f t="shared" si="1"/>
        <v>13</v>
      </c>
    </row>
    <row r="11" spans="1:4" x14ac:dyDescent="0.2">
      <c r="A11" s="17">
        <v>22890</v>
      </c>
      <c r="B11" s="21">
        <v>35</v>
      </c>
      <c r="C11" s="18">
        <f t="shared" si="0"/>
        <v>-4</v>
      </c>
      <c r="D11" s="18">
        <f t="shared" si="1"/>
        <v>-8</v>
      </c>
    </row>
    <row r="12" spans="1:4" x14ac:dyDescent="0.2">
      <c r="A12" s="17">
        <v>22920</v>
      </c>
      <c r="B12" s="21">
        <v>29</v>
      </c>
      <c r="C12" s="18">
        <f t="shared" si="0"/>
        <v>-6</v>
      </c>
      <c r="D12" s="18">
        <f t="shared" si="1"/>
        <v>-2</v>
      </c>
    </row>
    <row r="13" spans="1:4" x14ac:dyDescent="0.2">
      <c r="A13" s="17">
        <v>22951</v>
      </c>
      <c r="B13" s="21">
        <v>49</v>
      </c>
      <c r="C13" s="18">
        <f t="shared" si="0"/>
        <v>20</v>
      </c>
      <c r="D13" s="18">
        <f t="shared" si="1"/>
        <v>26</v>
      </c>
    </row>
    <row r="14" spans="1:4" x14ac:dyDescent="0.2">
      <c r="A14" s="17">
        <v>22981</v>
      </c>
      <c r="B14" s="21">
        <v>50</v>
      </c>
      <c r="C14" s="18">
        <f t="shared" si="0"/>
        <v>1</v>
      </c>
      <c r="D14" s="18">
        <f t="shared" si="1"/>
        <v>-19</v>
      </c>
    </row>
    <row r="15" spans="1:4" x14ac:dyDescent="0.2">
      <c r="A15" s="17">
        <v>23012</v>
      </c>
      <c r="B15" s="21">
        <v>59</v>
      </c>
      <c r="C15" s="18">
        <f t="shared" si="0"/>
        <v>9</v>
      </c>
      <c r="D15" s="18">
        <f t="shared" si="1"/>
        <v>8</v>
      </c>
    </row>
    <row r="16" spans="1:4" x14ac:dyDescent="0.2">
      <c r="A16" s="17">
        <v>23043</v>
      </c>
      <c r="B16" s="21">
        <v>63</v>
      </c>
      <c r="C16" s="18">
        <f t="shared" si="0"/>
        <v>4</v>
      </c>
      <c r="D16" s="18">
        <f t="shared" si="1"/>
        <v>-5</v>
      </c>
    </row>
    <row r="17" spans="1:4" x14ac:dyDescent="0.2">
      <c r="A17" s="17">
        <v>23071</v>
      </c>
      <c r="B17" s="21">
        <v>32</v>
      </c>
      <c r="C17" s="18">
        <f t="shared" si="0"/>
        <v>-31</v>
      </c>
      <c r="D17" s="18">
        <f t="shared" si="1"/>
        <v>-35</v>
      </c>
    </row>
    <row r="18" spans="1:4" x14ac:dyDescent="0.2">
      <c r="A18" s="17">
        <v>23102</v>
      </c>
      <c r="B18" s="21">
        <v>39</v>
      </c>
      <c r="C18" s="18">
        <f t="shared" si="0"/>
        <v>7</v>
      </c>
      <c r="D18" s="18">
        <f t="shared" si="1"/>
        <v>38</v>
      </c>
    </row>
    <row r="19" spans="1:4" x14ac:dyDescent="0.2">
      <c r="A19" s="17">
        <v>23132</v>
      </c>
      <c r="B19" s="21">
        <v>47</v>
      </c>
      <c r="C19" s="18">
        <f t="shared" si="0"/>
        <v>8</v>
      </c>
      <c r="D19" s="18">
        <f t="shared" si="1"/>
        <v>1</v>
      </c>
    </row>
    <row r="20" spans="1:4" x14ac:dyDescent="0.2">
      <c r="A20" s="17">
        <v>23163</v>
      </c>
      <c r="B20" s="21">
        <v>53</v>
      </c>
      <c r="C20" s="18">
        <f t="shared" si="0"/>
        <v>6</v>
      </c>
      <c r="D20" s="18">
        <f t="shared" si="1"/>
        <v>-2</v>
      </c>
    </row>
    <row r="21" spans="1:4" x14ac:dyDescent="0.2">
      <c r="A21" s="17">
        <v>23193</v>
      </c>
      <c r="B21" s="21">
        <v>60</v>
      </c>
      <c r="C21" s="18">
        <f t="shared" si="0"/>
        <v>7</v>
      </c>
      <c r="D21" s="18">
        <f t="shared" si="1"/>
        <v>1</v>
      </c>
    </row>
    <row r="22" spans="1:4" x14ac:dyDescent="0.2">
      <c r="A22" s="17">
        <v>23224</v>
      </c>
      <c r="B22" s="21">
        <v>57</v>
      </c>
      <c r="C22" s="18">
        <f t="shared" si="0"/>
        <v>-3</v>
      </c>
      <c r="D22" s="18">
        <f t="shared" si="1"/>
        <v>-10</v>
      </c>
    </row>
    <row r="23" spans="1:4" x14ac:dyDescent="0.2">
      <c r="A23" s="17">
        <v>23255</v>
      </c>
      <c r="B23" s="21">
        <v>52</v>
      </c>
      <c r="C23" s="18">
        <f t="shared" si="0"/>
        <v>-5</v>
      </c>
      <c r="D23" s="18">
        <f t="shared" si="1"/>
        <v>-2</v>
      </c>
    </row>
    <row r="24" spans="1:4" x14ac:dyDescent="0.2">
      <c r="A24" s="17">
        <v>23285</v>
      </c>
      <c r="B24" s="21">
        <v>70</v>
      </c>
      <c r="C24" s="18">
        <f t="shared" si="0"/>
        <v>18</v>
      </c>
      <c r="D24" s="18">
        <f t="shared" si="1"/>
        <v>23</v>
      </c>
    </row>
    <row r="25" spans="1:4" x14ac:dyDescent="0.2">
      <c r="A25" s="17">
        <v>23316</v>
      </c>
      <c r="B25" s="21">
        <v>90</v>
      </c>
      <c r="C25" s="18">
        <f t="shared" si="0"/>
        <v>20</v>
      </c>
      <c r="D25" s="18">
        <f t="shared" si="1"/>
        <v>2</v>
      </c>
    </row>
    <row r="26" spans="1:4" x14ac:dyDescent="0.2">
      <c r="A26" s="17">
        <v>23346</v>
      </c>
      <c r="B26" s="21">
        <v>74</v>
      </c>
      <c r="C26" s="18">
        <f t="shared" si="0"/>
        <v>-16</v>
      </c>
      <c r="D26" s="18">
        <f t="shared" si="1"/>
        <v>-36</v>
      </c>
    </row>
    <row r="27" spans="1:4" x14ac:dyDescent="0.2">
      <c r="A27" s="17">
        <v>23377</v>
      </c>
      <c r="B27" s="21">
        <v>62</v>
      </c>
      <c r="C27" s="18">
        <f t="shared" si="0"/>
        <v>-12</v>
      </c>
      <c r="D27" s="18">
        <f t="shared" si="1"/>
        <v>4</v>
      </c>
    </row>
    <row r="28" spans="1:4" x14ac:dyDescent="0.2">
      <c r="A28" s="17">
        <v>23408</v>
      </c>
      <c r="B28" s="21">
        <v>55</v>
      </c>
      <c r="C28" s="18">
        <f t="shared" si="0"/>
        <v>-7</v>
      </c>
      <c r="D28" s="18">
        <f t="shared" si="1"/>
        <v>5</v>
      </c>
    </row>
    <row r="29" spans="1:4" x14ac:dyDescent="0.2">
      <c r="A29" s="17">
        <v>23437</v>
      </c>
      <c r="B29" s="21">
        <v>84</v>
      </c>
      <c r="C29" s="18">
        <f t="shared" si="0"/>
        <v>29</v>
      </c>
      <c r="D29" s="18">
        <f t="shared" si="1"/>
        <v>36</v>
      </c>
    </row>
    <row r="30" spans="1:4" x14ac:dyDescent="0.2">
      <c r="A30" s="17">
        <v>23468</v>
      </c>
      <c r="B30" s="21">
        <v>94</v>
      </c>
      <c r="C30" s="18">
        <f t="shared" si="0"/>
        <v>10</v>
      </c>
      <c r="D30" s="18">
        <f t="shared" si="1"/>
        <v>-19</v>
      </c>
    </row>
    <row r="31" spans="1:4" x14ac:dyDescent="0.2">
      <c r="A31" s="17">
        <v>23498</v>
      </c>
      <c r="B31" s="21">
        <v>70</v>
      </c>
      <c r="C31" s="18">
        <f t="shared" si="0"/>
        <v>-24</v>
      </c>
      <c r="D31" s="18">
        <f t="shared" si="1"/>
        <v>-34</v>
      </c>
    </row>
    <row r="32" spans="1:4" x14ac:dyDescent="0.2">
      <c r="A32" s="17">
        <v>23529</v>
      </c>
      <c r="B32" s="21">
        <v>108</v>
      </c>
      <c r="C32" s="18">
        <f t="shared" si="0"/>
        <v>38</v>
      </c>
      <c r="D32" s="18">
        <f t="shared" si="1"/>
        <v>62</v>
      </c>
    </row>
    <row r="33" spans="1:4" x14ac:dyDescent="0.2">
      <c r="A33" s="17">
        <v>23559</v>
      </c>
      <c r="B33" s="21">
        <v>139</v>
      </c>
      <c r="C33" s="18">
        <f t="shared" si="0"/>
        <v>31</v>
      </c>
      <c r="D33" s="18">
        <f t="shared" si="1"/>
        <v>-7</v>
      </c>
    </row>
    <row r="34" spans="1:4" x14ac:dyDescent="0.2">
      <c r="A34" s="17">
        <v>23590</v>
      </c>
      <c r="B34" s="21">
        <v>120</v>
      </c>
      <c r="C34" s="18">
        <f t="shared" si="0"/>
        <v>-19</v>
      </c>
      <c r="D34" s="18">
        <f t="shared" si="1"/>
        <v>-50</v>
      </c>
    </row>
    <row r="35" spans="1:4" x14ac:dyDescent="0.2">
      <c r="A35" s="17">
        <v>23621</v>
      </c>
      <c r="B35" s="21">
        <v>97</v>
      </c>
      <c r="C35" s="18">
        <f t="shared" si="0"/>
        <v>-23</v>
      </c>
      <c r="D35" s="18">
        <f t="shared" si="1"/>
        <v>-4</v>
      </c>
    </row>
    <row r="36" spans="1:4" x14ac:dyDescent="0.2">
      <c r="A36" s="17">
        <v>23651</v>
      </c>
      <c r="B36" s="21">
        <v>126</v>
      </c>
      <c r="C36" s="18">
        <f t="shared" si="0"/>
        <v>29</v>
      </c>
      <c r="D36" s="18">
        <f t="shared" si="1"/>
        <v>52</v>
      </c>
    </row>
    <row r="37" spans="1:4" x14ac:dyDescent="0.2">
      <c r="A37" s="17">
        <v>23682</v>
      </c>
      <c r="B37" s="21">
        <v>149</v>
      </c>
      <c r="C37" s="18">
        <f t="shared" si="0"/>
        <v>23</v>
      </c>
      <c r="D37" s="18">
        <f t="shared" si="1"/>
        <v>-6</v>
      </c>
    </row>
    <row r="38" spans="1:4" x14ac:dyDescent="0.2">
      <c r="A38" s="17">
        <v>23712</v>
      </c>
      <c r="B38" s="21">
        <v>158</v>
      </c>
      <c r="C38" s="18">
        <f t="shared" si="0"/>
        <v>9</v>
      </c>
      <c r="D38" s="18">
        <f t="shared" si="1"/>
        <v>-14</v>
      </c>
    </row>
    <row r="39" spans="1:4" x14ac:dyDescent="0.2">
      <c r="A39" s="17">
        <v>23743</v>
      </c>
      <c r="B39" s="21">
        <v>124</v>
      </c>
      <c r="C39" s="18">
        <f t="shared" si="0"/>
        <v>-34</v>
      </c>
      <c r="D39" s="18">
        <f t="shared" si="1"/>
        <v>-43</v>
      </c>
    </row>
    <row r="40" spans="1:4" x14ac:dyDescent="0.2">
      <c r="A40" s="17">
        <v>23774</v>
      </c>
      <c r="B40" s="21">
        <v>140</v>
      </c>
      <c r="C40" s="18">
        <f t="shared" si="0"/>
        <v>16</v>
      </c>
      <c r="D40" s="18">
        <f t="shared" si="1"/>
        <v>50</v>
      </c>
    </row>
    <row r="41" spans="1:4" x14ac:dyDescent="0.2">
      <c r="A41" s="17">
        <v>23802</v>
      </c>
      <c r="B41" s="21">
        <v>109</v>
      </c>
      <c r="C41" s="18">
        <f t="shared" si="0"/>
        <v>-31</v>
      </c>
      <c r="D41" s="18">
        <f t="shared" si="1"/>
        <v>-47</v>
      </c>
    </row>
    <row r="42" spans="1:4" x14ac:dyDescent="0.2">
      <c r="A42" s="17">
        <v>23833</v>
      </c>
      <c r="B42" s="21">
        <v>114</v>
      </c>
      <c r="C42" s="18">
        <f t="shared" si="0"/>
        <v>5</v>
      </c>
      <c r="D42" s="18">
        <f t="shared" si="1"/>
        <v>36</v>
      </c>
    </row>
    <row r="43" spans="1:4" x14ac:dyDescent="0.2">
      <c r="A43" s="17">
        <v>23863</v>
      </c>
      <c r="B43" s="21">
        <v>77</v>
      </c>
      <c r="C43" s="18">
        <f t="shared" si="0"/>
        <v>-37</v>
      </c>
      <c r="D43" s="18">
        <f t="shared" si="1"/>
        <v>-42</v>
      </c>
    </row>
    <row r="44" spans="1:4" x14ac:dyDescent="0.2">
      <c r="A44" s="17">
        <v>23894</v>
      </c>
      <c r="B44" s="21">
        <v>120</v>
      </c>
      <c r="C44" s="18">
        <f t="shared" si="0"/>
        <v>43</v>
      </c>
      <c r="D44" s="18">
        <f t="shared" si="1"/>
        <v>80</v>
      </c>
    </row>
    <row r="45" spans="1:4" x14ac:dyDescent="0.2">
      <c r="A45" s="17">
        <v>23924</v>
      </c>
      <c r="B45" s="21">
        <v>133</v>
      </c>
      <c r="C45" s="18">
        <f t="shared" si="0"/>
        <v>13</v>
      </c>
      <c r="D45" s="18">
        <f t="shared" si="1"/>
        <v>-30</v>
      </c>
    </row>
    <row r="46" spans="1:4" x14ac:dyDescent="0.2">
      <c r="A46" s="17">
        <v>23955</v>
      </c>
      <c r="B46" s="21">
        <v>110</v>
      </c>
      <c r="C46" s="18">
        <f t="shared" si="0"/>
        <v>-23</v>
      </c>
      <c r="D46" s="18">
        <f t="shared" si="1"/>
        <v>-36</v>
      </c>
    </row>
    <row r="47" spans="1:4" x14ac:dyDescent="0.2">
      <c r="A47" s="17">
        <v>23986</v>
      </c>
      <c r="B47" s="21">
        <v>92</v>
      </c>
      <c r="C47" s="18">
        <f t="shared" si="0"/>
        <v>-18</v>
      </c>
      <c r="D47" s="18">
        <f t="shared" si="1"/>
        <v>5</v>
      </c>
    </row>
    <row r="48" spans="1:4" x14ac:dyDescent="0.2">
      <c r="A48" s="17">
        <v>24016</v>
      </c>
      <c r="B48" s="21">
        <v>97</v>
      </c>
      <c r="C48" s="18">
        <f t="shared" si="0"/>
        <v>5</v>
      </c>
      <c r="D48" s="18">
        <f t="shared" si="1"/>
        <v>23</v>
      </c>
    </row>
    <row r="49" spans="1:4" x14ac:dyDescent="0.2">
      <c r="A49" s="17">
        <v>24047</v>
      </c>
      <c r="B49" s="21">
        <v>78</v>
      </c>
      <c r="C49" s="18">
        <f t="shared" si="0"/>
        <v>-19</v>
      </c>
      <c r="D49" s="18">
        <f t="shared" si="1"/>
        <v>-24</v>
      </c>
    </row>
    <row r="50" spans="1:4" x14ac:dyDescent="0.2">
      <c r="A50" s="17">
        <v>24077</v>
      </c>
      <c r="B50" s="21">
        <v>99</v>
      </c>
      <c r="C50" s="18">
        <f t="shared" si="0"/>
        <v>21</v>
      </c>
      <c r="D50" s="18">
        <f t="shared" si="1"/>
        <v>40</v>
      </c>
    </row>
    <row r="51" spans="1:4" x14ac:dyDescent="0.2">
      <c r="A51" s="17">
        <v>24108</v>
      </c>
      <c r="B51" s="21">
        <v>107</v>
      </c>
      <c r="C51" s="18">
        <f t="shared" si="0"/>
        <v>8</v>
      </c>
      <c r="D51" s="18">
        <f t="shared" si="1"/>
        <v>-13</v>
      </c>
    </row>
    <row r="52" spans="1:4" x14ac:dyDescent="0.2">
      <c r="A52" s="17">
        <v>24139</v>
      </c>
      <c r="B52" s="21">
        <v>112</v>
      </c>
      <c r="C52" s="18">
        <f t="shared" si="0"/>
        <v>5</v>
      </c>
      <c r="D52" s="18">
        <f t="shared" si="1"/>
        <v>-3</v>
      </c>
    </row>
    <row r="53" spans="1:4" x14ac:dyDescent="0.2">
      <c r="A53" s="17">
        <v>24167</v>
      </c>
      <c r="B53" s="21">
        <v>90</v>
      </c>
      <c r="C53" s="18">
        <f t="shared" si="0"/>
        <v>-22</v>
      </c>
      <c r="D53" s="18">
        <f t="shared" si="1"/>
        <v>-27</v>
      </c>
    </row>
    <row r="54" spans="1:4" x14ac:dyDescent="0.2">
      <c r="A54" s="17">
        <v>24198</v>
      </c>
      <c r="B54" s="21">
        <v>98</v>
      </c>
      <c r="C54" s="18">
        <f t="shared" si="0"/>
        <v>8</v>
      </c>
      <c r="D54" s="18">
        <f t="shared" si="1"/>
        <v>30</v>
      </c>
    </row>
    <row r="55" spans="1:4" x14ac:dyDescent="0.2">
      <c r="A55" s="17">
        <v>24228</v>
      </c>
      <c r="B55" s="21">
        <v>125</v>
      </c>
      <c r="C55" s="18">
        <f t="shared" si="0"/>
        <v>27</v>
      </c>
      <c r="D55" s="18">
        <f t="shared" si="1"/>
        <v>19</v>
      </c>
    </row>
    <row r="56" spans="1:4" x14ac:dyDescent="0.2">
      <c r="A56" s="17">
        <v>24259</v>
      </c>
      <c r="B56" s="21">
        <v>155</v>
      </c>
      <c r="C56" s="18">
        <f t="shared" si="0"/>
        <v>30</v>
      </c>
      <c r="D56" s="18">
        <f t="shared" si="1"/>
        <v>3</v>
      </c>
    </row>
    <row r="57" spans="1:4" x14ac:dyDescent="0.2">
      <c r="A57" s="17">
        <v>24289</v>
      </c>
      <c r="B57" s="21">
        <v>190</v>
      </c>
      <c r="C57" s="18">
        <f t="shared" si="0"/>
        <v>35</v>
      </c>
      <c r="D57" s="18">
        <f t="shared" si="1"/>
        <v>5</v>
      </c>
    </row>
    <row r="58" spans="1:4" x14ac:dyDescent="0.2">
      <c r="A58" s="17">
        <v>24320</v>
      </c>
      <c r="B58" s="21">
        <v>236</v>
      </c>
      <c r="C58" s="18">
        <f t="shared" si="0"/>
        <v>46</v>
      </c>
      <c r="D58" s="18">
        <f t="shared" si="1"/>
        <v>11</v>
      </c>
    </row>
    <row r="59" spans="1:4" x14ac:dyDescent="0.2">
      <c r="A59" s="17">
        <v>24351</v>
      </c>
      <c r="B59" s="21">
        <v>189</v>
      </c>
      <c r="C59" s="18">
        <f t="shared" si="0"/>
        <v>-47</v>
      </c>
      <c r="D59" s="18">
        <f t="shared" si="1"/>
        <v>-93</v>
      </c>
    </row>
    <row r="60" spans="1:4" x14ac:dyDescent="0.2">
      <c r="A60" s="17">
        <v>24381</v>
      </c>
      <c r="B60" s="21">
        <v>174</v>
      </c>
      <c r="C60" s="18">
        <f t="shared" si="0"/>
        <v>-15</v>
      </c>
      <c r="D60" s="18">
        <f t="shared" si="1"/>
        <v>32</v>
      </c>
    </row>
    <row r="61" spans="1:4" x14ac:dyDescent="0.2">
      <c r="A61" s="17">
        <v>24412</v>
      </c>
      <c r="B61" s="21">
        <v>178</v>
      </c>
      <c r="C61" s="18">
        <f t="shared" si="0"/>
        <v>4</v>
      </c>
      <c r="D61" s="18">
        <f t="shared" si="1"/>
        <v>19</v>
      </c>
    </row>
    <row r="62" spans="1:4" x14ac:dyDescent="0.2">
      <c r="A62" s="17">
        <v>24442</v>
      </c>
      <c r="B62" s="21">
        <v>136</v>
      </c>
      <c r="C62" s="18">
        <f t="shared" si="0"/>
        <v>-42</v>
      </c>
      <c r="D62" s="18">
        <f t="shared" si="1"/>
        <v>-46</v>
      </c>
    </row>
    <row r="63" spans="1:4" x14ac:dyDescent="0.2">
      <c r="A63" s="17">
        <v>24473</v>
      </c>
      <c r="B63" s="21">
        <v>161</v>
      </c>
      <c r="C63" s="18">
        <f t="shared" si="0"/>
        <v>25</v>
      </c>
      <c r="D63" s="18">
        <f t="shared" si="1"/>
        <v>67</v>
      </c>
    </row>
    <row r="64" spans="1:4" x14ac:dyDescent="0.2">
      <c r="A64" s="17">
        <v>24504</v>
      </c>
      <c r="B64" s="21">
        <v>171</v>
      </c>
      <c r="C64" s="18">
        <f t="shared" si="0"/>
        <v>10</v>
      </c>
      <c r="D64" s="18">
        <f t="shared" si="1"/>
        <v>-15</v>
      </c>
    </row>
    <row r="65" spans="1:4" x14ac:dyDescent="0.2">
      <c r="A65" s="17">
        <v>24532</v>
      </c>
      <c r="B65" s="21">
        <v>149</v>
      </c>
      <c r="C65" s="18">
        <f t="shared" si="0"/>
        <v>-22</v>
      </c>
      <c r="D65" s="18">
        <f t="shared" si="1"/>
        <v>-32</v>
      </c>
    </row>
    <row r="66" spans="1:4" x14ac:dyDescent="0.2">
      <c r="A66" s="17">
        <v>24563</v>
      </c>
      <c r="B66" s="21">
        <v>184</v>
      </c>
      <c r="C66" s="18">
        <f t="shared" si="0"/>
        <v>35</v>
      </c>
      <c r="D66" s="18">
        <f t="shared" si="1"/>
        <v>57</v>
      </c>
    </row>
    <row r="67" spans="1:4" x14ac:dyDescent="0.2">
      <c r="A67" s="17">
        <v>24593</v>
      </c>
      <c r="B67" s="21">
        <v>155</v>
      </c>
      <c r="C67" s="18">
        <f t="shared" si="0"/>
        <v>-29</v>
      </c>
      <c r="D67" s="18">
        <f t="shared" si="1"/>
        <v>-64</v>
      </c>
    </row>
    <row r="68" spans="1:4" x14ac:dyDescent="0.2">
      <c r="A68" s="17">
        <v>24624</v>
      </c>
      <c r="B68" s="21">
        <v>276</v>
      </c>
      <c r="C68" s="18">
        <f t="shared" ref="C68:C119" si="2">B68-B67</f>
        <v>121</v>
      </c>
      <c r="D68" s="18">
        <f t="shared" si="1"/>
        <v>150</v>
      </c>
    </row>
    <row r="69" spans="1:4" x14ac:dyDescent="0.2">
      <c r="A69" s="17">
        <v>24654</v>
      </c>
      <c r="B69" s="21">
        <v>224</v>
      </c>
      <c r="C69" s="18">
        <f t="shared" si="2"/>
        <v>-52</v>
      </c>
      <c r="D69" s="18">
        <f t="shared" ref="D69" si="3">(B69-B68)-(B68-B67)</f>
        <v>-173</v>
      </c>
    </row>
    <row r="70" spans="1:4" x14ac:dyDescent="0.2">
      <c r="A70" s="17">
        <v>24685</v>
      </c>
      <c r="B70" s="21">
        <v>213</v>
      </c>
      <c r="C70" s="18">
        <f t="shared" si="2"/>
        <v>-11</v>
      </c>
      <c r="D70" s="18">
        <f>(B70-B69)-(B69-B68)</f>
        <v>41</v>
      </c>
    </row>
    <row r="71" spans="1:4" x14ac:dyDescent="0.2">
      <c r="A71" s="17">
        <v>24716</v>
      </c>
      <c r="B71" s="21">
        <v>279</v>
      </c>
      <c r="C71" s="18">
        <f t="shared" si="2"/>
        <v>66</v>
      </c>
      <c r="D71" s="18">
        <f t="shared" ref="D71:D119" si="4">(B71-B70)-(B70-B69)</f>
        <v>77</v>
      </c>
    </row>
    <row r="72" spans="1:4" x14ac:dyDescent="0.2">
      <c r="A72" s="17">
        <v>24746</v>
      </c>
      <c r="B72" s="21">
        <v>268</v>
      </c>
      <c r="C72" s="18">
        <f t="shared" si="2"/>
        <v>-11</v>
      </c>
      <c r="D72" s="18">
        <f t="shared" si="4"/>
        <v>-77</v>
      </c>
    </row>
    <row r="73" spans="1:4" x14ac:dyDescent="0.2">
      <c r="A73" s="17">
        <v>24777</v>
      </c>
      <c r="B73" s="21">
        <v>287</v>
      </c>
      <c r="C73" s="18">
        <f t="shared" si="2"/>
        <v>19</v>
      </c>
      <c r="D73" s="18">
        <f t="shared" si="4"/>
        <v>30</v>
      </c>
    </row>
    <row r="74" spans="1:4" x14ac:dyDescent="0.2">
      <c r="A74" s="17">
        <v>24807</v>
      </c>
      <c r="B74" s="21">
        <v>238</v>
      </c>
      <c r="C74" s="18">
        <f t="shared" si="2"/>
        <v>-49</v>
      </c>
      <c r="D74" s="18">
        <f t="shared" si="4"/>
        <v>-68</v>
      </c>
    </row>
    <row r="75" spans="1:4" x14ac:dyDescent="0.2">
      <c r="A75" s="17">
        <v>24838</v>
      </c>
      <c r="B75" s="21">
        <v>213</v>
      </c>
      <c r="C75" s="18">
        <f t="shared" si="2"/>
        <v>-25</v>
      </c>
      <c r="D75" s="18">
        <f t="shared" si="4"/>
        <v>24</v>
      </c>
    </row>
    <row r="76" spans="1:4" x14ac:dyDescent="0.2">
      <c r="A76" s="17">
        <v>24869</v>
      </c>
      <c r="B76" s="21">
        <v>257</v>
      </c>
      <c r="C76" s="18">
        <f t="shared" si="2"/>
        <v>44</v>
      </c>
      <c r="D76" s="18">
        <f t="shared" si="4"/>
        <v>69</v>
      </c>
    </row>
    <row r="77" spans="1:4" x14ac:dyDescent="0.2">
      <c r="A77" s="17">
        <v>24898</v>
      </c>
      <c r="B77" s="21">
        <v>293</v>
      </c>
      <c r="C77" s="18">
        <f t="shared" si="2"/>
        <v>36</v>
      </c>
      <c r="D77" s="18">
        <f t="shared" si="4"/>
        <v>-8</v>
      </c>
    </row>
    <row r="78" spans="1:4" x14ac:dyDescent="0.2">
      <c r="A78" s="17">
        <v>24929</v>
      </c>
      <c r="B78" s="21">
        <v>212</v>
      </c>
      <c r="C78" s="18">
        <f t="shared" si="2"/>
        <v>-81</v>
      </c>
      <c r="D78" s="18">
        <f t="shared" si="4"/>
        <v>-117</v>
      </c>
    </row>
    <row r="79" spans="1:4" x14ac:dyDescent="0.2">
      <c r="A79" s="17">
        <v>24959</v>
      </c>
      <c r="B79" s="21">
        <v>246</v>
      </c>
      <c r="C79" s="18">
        <f t="shared" si="2"/>
        <v>34</v>
      </c>
      <c r="D79" s="18">
        <f t="shared" si="4"/>
        <v>115</v>
      </c>
    </row>
    <row r="80" spans="1:4" x14ac:dyDescent="0.2">
      <c r="A80" s="17">
        <v>24990</v>
      </c>
      <c r="B80" s="21">
        <v>353</v>
      </c>
      <c r="C80" s="18">
        <f t="shared" si="2"/>
        <v>107</v>
      </c>
      <c r="D80" s="18">
        <f t="shared" si="4"/>
        <v>73</v>
      </c>
    </row>
    <row r="81" spans="1:4" x14ac:dyDescent="0.2">
      <c r="A81" s="17">
        <v>25020</v>
      </c>
      <c r="B81" s="21">
        <v>339</v>
      </c>
      <c r="C81" s="18">
        <f t="shared" si="2"/>
        <v>-14</v>
      </c>
      <c r="D81" s="18">
        <f t="shared" si="4"/>
        <v>-121</v>
      </c>
    </row>
    <row r="82" spans="1:4" x14ac:dyDescent="0.2">
      <c r="A82" s="17">
        <v>25051</v>
      </c>
      <c r="B82" s="21">
        <v>308</v>
      </c>
      <c r="C82" s="18">
        <f t="shared" si="2"/>
        <v>-31</v>
      </c>
      <c r="D82" s="18">
        <f t="shared" si="4"/>
        <v>-17</v>
      </c>
    </row>
    <row r="83" spans="1:4" x14ac:dyDescent="0.2">
      <c r="A83" s="17">
        <v>25082</v>
      </c>
      <c r="B83" s="21">
        <v>247</v>
      </c>
      <c r="C83" s="18">
        <f t="shared" si="2"/>
        <v>-61</v>
      </c>
      <c r="D83" s="18">
        <f t="shared" si="4"/>
        <v>-30</v>
      </c>
    </row>
    <row r="84" spans="1:4" x14ac:dyDescent="0.2">
      <c r="A84" s="17">
        <v>25112</v>
      </c>
      <c r="B84" s="21">
        <v>257</v>
      </c>
      <c r="C84" s="18">
        <f t="shared" si="2"/>
        <v>10</v>
      </c>
      <c r="D84" s="18">
        <f t="shared" si="4"/>
        <v>71</v>
      </c>
    </row>
    <row r="85" spans="1:4" x14ac:dyDescent="0.2">
      <c r="A85" s="17">
        <v>25143</v>
      </c>
      <c r="B85" s="21">
        <v>322</v>
      </c>
      <c r="C85" s="18">
        <f t="shared" si="2"/>
        <v>65</v>
      </c>
      <c r="D85" s="18">
        <f t="shared" si="4"/>
        <v>55</v>
      </c>
    </row>
    <row r="86" spans="1:4" x14ac:dyDescent="0.2">
      <c r="A86" s="17">
        <v>25173</v>
      </c>
      <c r="B86" s="21">
        <v>298</v>
      </c>
      <c r="C86" s="18">
        <f t="shared" si="2"/>
        <v>-24</v>
      </c>
      <c r="D86" s="18">
        <f t="shared" si="4"/>
        <v>-89</v>
      </c>
    </row>
    <row r="87" spans="1:4" x14ac:dyDescent="0.2">
      <c r="A87" s="17">
        <v>25204</v>
      </c>
      <c r="B87" s="21">
        <v>273</v>
      </c>
      <c r="C87" s="18">
        <f t="shared" si="2"/>
        <v>-25</v>
      </c>
      <c r="D87" s="18">
        <f t="shared" si="4"/>
        <v>-1</v>
      </c>
    </row>
    <row r="88" spans="1:4" x14ac:dyDescent="0.2">
      <c r="A88" s="17">
        <v>25235</v>
      </c>
      <c r="B88" s="21">
        <v>312</v>
      </c>
      <c r="C88" s="18">
        <f t="shared" si="2"/>
        <v>39</v>
      </c>
      <c r="D88" s="18">
        <f t="shared" si="4"/>
        <v>64</v>
      </c>
    </row>
    <row r="89" spans="1:4" x14ac:dyDescent="0.2">
      <c r="A89" s="17">
        <v>25263</v>
      </c>
      <c r="B89" s="21">
        <v>249</v>
      </c>
      <c r="C89" s="18">
        <f t="shared" si="2"/>
        <v>-63</v>
      </c>
      <c r="D89" s="18">
        <f t="shared" si="4"/>
        <v>-102</v>
      </c>
    </row>
    <row r="90" spans="1:4" x14ac:dyDescent="0.2">
      <c r="A90" s="17">
        <v>25294</v>
      </c>
      <c r="B90" s="21">
        <v>286</v>
      </c>
      <c r="C90" s="18">
        <f t="shared" si="2"/>
        <v>37</v>
      </c>
      <c r="D90" s="18">
        <f t="shared" si="4"/>
        <v>100</v>
      </c>
    </row>
    <row r="91" spans="1:4" x14ac:dyDescent="0.2">
      <c r="A91" s="17">
        <v>25324</v>
      </c>
      <c r="B91" s="21">
        <v>279</v>
      </c>
      <c r="C91" s="18">
        <f t="shared" si="2"/>
        <v>-7</v>
      </c>
      <c r="D91" s="18">
        <f t="shared" si="4"/>
        <v>-44</v>
      </c>
    </row>
    <row r="92" spans="1:4" x14ac:dyDescent="0.2">
      <c r="A92" s="17">
        <v>25355</v>
      </c>
      <c r="B92" s="21">
        <v>309</v>
      </c>
      <c r="C92" s="18">
        <f t="shared" si="2"/>
        <v>30</v>
      </c>
      <c r="D92" s="18">
        <f t="shared" si="4"/>
        <v>37</v>
      </c>
    </row>
    <row r="93" spans="1:4" x14ac:dyDescent="0.2">
      <c r="A93" s="17">
        <v>25385</v>
      </c>
      <c r="B93" s="21">
        <v>401</v>
      </c>
      <c r="C93" s="18">
        <f t="shared" si="2"/>
        <v>92</v>
      </c>
      <c r="D93" s="18">
        <f t="shared" si="4"/>
        <v>62</v>
      </c>
    </row>
    <row r="94" spans="1:4" x14ac:dyDescent="0.2">
      <c r="A94" s="17">
        <v>25416</v>
      </c>
      <c r="B94" s="21">
        <v>309</v>
      </c>
      <c r="C94" s="18">
        <f t="shared" si="2"/>
        <v>-92</v>
      </c>
      <c r="D94" s="18">
        <f t="shared" si="4"/>
        <v>-184</v>
      </c>
    </row>
    <row r="95" spans="1:4" x14ac:dyDescent="0.2">
      <c r="A95" s="17">
        <v>25447</v>
      </c>
      <c r="B95" s="21">
        <v>328</v>
      </c>
      <c r="C95" s="18">
        <f t="shared" si="2"/>
        <v>19</v>
      </c>
      <c r="D95" s="18">
        <f t="shared" si="4"/>
        <v>111</v>
      </c>
    </row>
    <row r="96" spans="1:4" x14ac:dyDescent="0.2">
      <c r="A96" s="17">
        <v>25477</v>
      </c>
      <c r="B96" s="21">
        <v>353</v>
      </c>
      <c r="C96" s="18">
        <f t="shared" si="2"/>
        <v>25</v>
      </c>
      <c r="D96" s="18">
        <f t="shared" si="4"/>
        <v>6</v>
      </c>
    </row>
    <row r="97" spans="1:4" x14ac:dyDescent="0.2">
      <c r="A97" s="17">
        <v>25508</v>
      </c>
      <c r="B97" s="21">
        <v>354</v>
      </c>
      <c r="C97" s="18">
        <f t="shared" si="2"/>
        <v>1</v>
      </c>
      <c r="D97" s="18">
        <f t="shared" si="4"/>
        <v>-24</v>
      </c>
    </row>
    <row r="98" spans="1:4" x14ac:dyDescent="0.2">
      <c r="A98" s="17">
        <v>25538</v>
      </c>
      <c r="B98" s="21">
        <v>327</v>
      </c>
      <c r="C98" s="18">
        <f t="shared" si="2"/>
        <v>-27</v>
      </c>
      <c r="D98" s="18">
        <f t="shared" si="4"/>
        <v>-28</v>
      </c>
    </row>
    <row r="99" spans="1:4" x14ac:dyDescent="0.2">
      <c r="A99" s="17">
        <v>25569</v>
      </c>
      <c r="B99" s="21">
        <v>324</v>
      </c>
      <c r="C99" s="18">
        <f t="shared" si="2"/>
        <v>-3</v>
      </c>
      <c r="D99" s="18">
        <f t="shared" si="4"/>
        <v>24</v>
      </c>
    </row>
    <row r="100" spans="1:4" x14ac:dyDescent="0.2">
      <c r="A100" s="17">
        <v>25600</v>
      </c>
      <c r="B100" s="21">
        <v>285</v>
      </c>
      <c r="C100" s="18">
        <f t="shared" si="2"/>
        <v>-39</v>
      </c>
      <c r="D100" s="18">
        <f t="shared" si="4"/>
        <v>-36</v>
      </c>
    </row>
    <row r="101" spans="1:4" x14ac:dyDescent="0.2">
      <c r="A101" s="17">
        <v>25628</v>
      </c>
      <c r="B101" s="21">
        <v>243</v>
      </c>
      <c r="C101" s="18">
        <f t="shared" si="2"/>
        <v>-42</v>
      </c>
      <c r="D101" s="18">
        <f t="shared" si="4"/>
        <v>-3</v>
      </c>
    </row>
    <row r="102" spans="1:4" x14ac:dyDescent="0.2">
      <c r="A102" s="17">
        <v>25659</v>
      </c>
      <c r="B102" s="21">
        <v>241</v>
      </c>
      <c r="C102" s="18">
        <f t="shared" si="2"/>
        <v>-2</v>
      </c>
      <c r="D102" s="18">
        <f t="shared" si="4"/>
        <v>40</v>
      </c>
    </row>
    <row r="103" spans="1:4" x14ac:dyDescent="0.2">
      <c r="A103" s="17">
        <v>25689</v>
      </c>
      <c r="B103" s="21">
        <v>287</v>
      </c>
      <c r="C103" s="18">
        <f t="shared" si="2"/>
        <v>46</v>
      </c>
      <c r="D103" s="18">
        <f t="shared" si="4"/>
        <v>48</v>
      </c>
    </row>
    <row r="104" spans="1:4" x14ac:dyDescent="0.2">
      <c r="A104" s="17">
        <v>25720</v>
      </c>
      <c r="B104" s="21">
        <v>355</v>
      </c>
      <c r="C104" s="18">
        <f t="shared" si="2"/>
        <v>68</v>
      </c>
      <c r="D104" s="18">
        <f t="shared" si="4"/>
        <v>22</v>
      </c>
    </row>
    <row r="105" spans="1:4" x14ac:dyDescent="0.2">
      <c r="A105" s="17">
        <v>25750</v>
      </c>
      <c r="B105" s="21">
        <v>460</v>
      </c>
      <c r="C105" s="18">
        <f t="shared" si="2"/>
        <v>105</v>
      </c>
      <c r="D105" s="18">
        <f t="shared" si="4"/>
        <v>37</v>
      </c>
    </row>
    <row r="106" spans="1:4" x14ac:dyDescent="0.2">
      <c r="A106" s="17">
        <v>25781</v>
      </c>
      <c r="B106" s="21">
        <v>364</v>
      </c>
      <c r="C106" s="18">
        <f t="shared" si="2"/>
        <v>-96</v>
      </c>
      <c r="D106" s="18">
        <f t="shared" si="4"/>
        <v>-201</v>
      </c>
    </row>
    <row r="107" spans="1:4" x14ac:dyDescent="0.2">
      <c r="A107" s="17">
        <v>25812</v>
      </c>
      <c r="B107" s="21">
        <v>487</v>
      </c>
      <c r="C107" s="18">
        <f t="shared" si="2"/>
        <v>123</v>
      </c>
      <c r="D107" s="18">
        <f t="shared" si="4"/>
        <v>219</v>
      </c>
    </row>
    <row r="108" spans="1:4" x14ac:dyDescent="0.2">
      <c r="A108" s="17">
        <v>25842</v>
      </c>
      <c r="B108" s="21">
        <v>452</v>
      </c>
      <c r="C108" s="18">
        <f t="shared" si="2"/>
        <v>-35</v>
      </c>
      <c r="D108" s="18">
        <f t="shared" si="4"/>
        <v>-158</v>
      </c>
    </row>
    <row r="109" spans="1:4" x14ac:dyDescent="0.2">
      <c r="A109" s="17">
        <v>25873</v>
      </c>
      <c r="B109" s="21">
        <v>391</v>
      </c>
      <c r="C109" s="18">
        <f t="shared" si="2"/>
        <v>-61</v>
      </c>
      <c r="D109" s="18">
        <f t="shared" si="4"/>
        <v>-26</v>
      </c>
    </row>
    <row r="110" spans="1:4" x14ac:dyDescent="0.2">
      <c r="A110" s="17">
        <v>25903</v>
      </c>
      <c r="B110" s="21">
        <v>500</v>
      </c>
      <c r="C110" s="18">
        <f t="shared" si="2"/>
        <v>109</v>
      </c>
      <c r="D110" s="18">
        <f t="shared" si="4"/>
        <v>170</v>
      </c>
    </row>
    <row r="111" spans="1:4" x14ac:dyDescent="0.2">
      <c r="A111" s="17">
        <v>25934</v>
      </c>
      <c r="B111" s="21">
        <v>451</v>
      </c>
      <c r="C111" s="18">
        <f t="shared" si="2"/>
        <v>-49</v>
      </c>
      <c r="D111" s="18">
        <f t="shared" si="4"/>
        <v>-158</v>
      </c>
    </row>
    <row r="112" spans="1:4" x14ac:dyDescent="0.2">
      <c r="A112" s="17">
        <v>25965</v>
      </c>
      <c r="B112" s="21">
        <v>375</v>
      </c>
      <c r="C112" s="18">
        <f t="shared" si="2"/>
        <v>-76</v>
      </c>
      <c r="D112" s="18">
        <f t="shared" si="4"/>
        <v>-27</v>
      </c>
    </row>
    <row r="113" spans="1:4" x14ac:dyDescent="0.2">
      <c r="A113" s="17">
        <v>25993</v>
      </c>
      <c r="B113" s="21">
        <v>372</v>
      </c>
      <c r="C113" s="18">
        <f t="shared" si="2"/>
        <v>-3</v>
      </c>
      <c r="D113" s="18">
        <f t="shared" si="4"/>
        <v>73</v>
      </c>
    </row>
    <row r="114" spans="1:4" x14ac:dyDescent="0.2">
      <c r="A114" s="17">
        <v>26024</v>
      </c>
      <c r="B114" s="21">
        <v>302</v>
      </c>
      <c r="C114" s="18">
        <f t="shared" si="2"/>
        <v>-70</v>
      </c>
      <c r="D114" s="18">
        <f t="shared" si="4"/>
        <v>-67</v>
      </c>
    </row>
    <row r="115" spans="1:4" x14ac:dyDescent="0.2">
      <c r="A115" s="17">
        <v>26054</v>
      </c>
      <c r="B115" s="21">
        <v>316</v>
      </c>
      <c r="C115" s="18">
        <f t="shared" si="2"/>
        <v>14</v>
      </c>
      <c r="D115" s="18">
        <f t="shared" si="4"/>
        <v>84</v>
      </c>
    </row>
    <row r="116" spans="1:4" x14ac:dyDescent="0.2">
      <c r="A116" s="17">
        <v>26085</v>
      </c>
      <c r="B116" s="21">
        <v>398</v>
      </c>
      <c r="C116" s="18">
        <f t="shared" si="2"/>
        <v>82</v>
      </c>
      <c r="D116" s="18">
        <f t="shared" si="4"/>
        <v>68</v>
      </c>
    </row>
    <row r="117" spans="1:4" x14ac:dyDescent="0.2">
      <c r="A117" s="17">
        <v>26115</v>
      </c>
      <c r="B117" s="21">
        <v>394</v>
      </c>
      <c r="C117" s="18">
        <f t="shared" si="2"/>
        <v>-4</v>
      </c>
      <c r="D117" s="18">
        <f t="shared" si="4"/>
        <v>-86</v>
      </c>
    </row>
    <row r="118" spans="1:4" x14ac:dyDescent="0.2">
      <c r="A118" s="17">
        <v>26146</v>
      </c>
      <c r="B118" s="21">
        <v>431</v>
      </c>
      <c r="C118" s="18">
        <f t="shared" si="2"/>
        <v>37</v>
      </c>
      <c r="D118" s="18">
        <f t="shared" si="4"/>
        <v>41</v>
      </c>
    </row>
    <row r="119" spans="1:4" x14ac:dyDescent="0.2">
      <c r="A119" s="17">
        <v>26177</v>
      </c>
      <c r="B119" s="21">
        <v>431</v>
      </c>
      <c r="C119" s="18">
        <f t="shared" si="2"/>
        <v>0</v>
      </c>
      <c r="D119" s="18">
        <f t="shared" si="4"/>
        <v>-37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9"/>
  <sheetViews>
    <sheetView tabSelected="1" workbookViewId="0">
      <selection activeCell="H18" sqref="H18"/>
    </sheetView>
  </sheetViews>
  <sheetFormatPr baseColWidth="10" defaultRowHeight="16" x14ac:dyDescent="0.2"/>
  <cols>
    <col min="1" max="1" width="7.5" style="19" bestFit="1" customWidth="1"/>
    <col min="2" max="2" width="5" style="21" bestFit="1" customWidth="1"/>
    <col min="3" max="3" width="16.5" customWidth="1"/>
    <col min="4" max="4" width="19" customWidth="1"/>
    <col min="5" max="5" width="16.83203125" style="36" customWidth="1"/>
    <col min="6" max="6" width="14.5" style="34" customWidth="1"/>
    <col min="7" max="7" width="15.33203125" style="34" customWidth="1"/>
    <col min="11" max="11" width="17.1640625" customWidth="1"/>
  </cols>
  <sheetData>
    <row r="1" spans="1:12" ht="55" customHeight="1" x14ac:dyDescent="0.2">
      <c r="A1" s="15" t="s">
        <v>0</v>
      </c>
      <c r="B1" s="20" t="s">
        <v>1</v>
      </c>
      <c r="C1" s="38" t="s">
        <v>11</v>
      </c>
      <c r="D1" s="38" t="s">
        <v>31</v>
      </c>
      <c r="E1" s="38" t="s">
        <v>32</v>
      </c>
      <c r="F1" s="37" t="s">
        <v>29</v>
      </c>
      <c r="G1" s="37" t="s">
        <v>30</v>
      </c>
      <c r="H1" s="23" t="s">
        <v>28</v>
      </c>
    </row>
    <row r="2" spans="1:12" x14ac:dyDescent="0.2">
      <c r="A2" s="17">
        <v>22616</v>
      </c>
      <c r="B2" s="21">
        <v>41</v>
      </c>
      <c r="C2" s="5">
        <f>B2</f>
        <v>41</v>
      </c>
      <c r="D2" s="5">
        <f>B2</f>
        <v>41</v>
      </c>
      <c r="E2" s="39">
        <f>B2</f>
        <v>41</v>
      </c>
      <c r="F2" s="34">
        <f>0</f>
        <v>0</v>
      </c>
      <c r="G2" s="34">
        <f>B2/E2</f>
        <v>1</v>
      </c>
      <c r="I2" t="s">
        <v>6</v>
      </c>
      <c r="J2" s="22">
        <v>0.4</v>
      </c>
    </row>
    <row r="3" spans="1:12" x14ac:dyDescent="0.2">
      <c r="A3" s="17">
        <v>22647</v>
      </c>
      <c r="B3" s="21">
        <v>39</v>
      </c>
      <c r="C3" s="7">
        <f>B2*$J$2 + (C2*$J$3)</f>
        <v>41</v>
      </c>
      <c r="D3" s="7">
        <f>(B2*$J$2)+($J$3*(D2+F2))</f>
        <v>41</v>
      </c>
      <c r="E3" s="40">
        <f>((B2/G2)*$J$2)+($J$3*(D2+F2))</f>
        <v>41</v>
      </c>
      <c r="F3" s="35">
        <f>$J$9*(D3-D2)+($J$10*F2)</f>
        <v>0</v>
      </c>
      <c r="G3" s="35">
        <f>($J$14*(B3/E3))+($J$15*G2)</f>
        <v>1</v>
      </c>
      <c r="I3" t="s">
        <v>10</v>
      </c>
      <c r="J3">
        <f>1-J2</f>
        <v>0.6</v>
      </c>
      <c r="L3" t="s">
        <v>25</v>
      </c>
    </row>
    <row r="4" spans="1:12" x14ac:dyDescent="0.2">
      <c r="A4" s="17">
        <v>22678</v>
      </c>
      <c r="B4" s="21">
        <v>50</v>
      </c>
      <c r="C4" s="7">
        <f>B3*$J$2 + (C3*$J$3)</f>
        <v>40.200000000000003</v>
      </c>
      <c r="D4" s="7">
        <f>(B3*$J$2)+($J$3*(D3+F3))</f>
        <v>40.200000000000003</v>
      </c>
      <c r="E4" s="40">
        <f>((B3/G3)*$J$2)+($J$3*(D3+F3))</f>
        <v>40.200000000000003</v>
      </c>
      <c r="F4" s="35">
        <f>$J$9*(D4-D3)+($J$10*F3)</f>
        <v>0</v>
      </c>
      <c r="G4" s="35">
        <f>($J$14*(B4/E4))+($J$15*G3)</f>
        <v>1</v>
      </c>
    </row>
    <row r="5" spans="1:12" x14ac:dyDescent="0.2">
      <c r="A5" s="17">
        <v>22706</v>
      </c>
      <c r="B5" s="21">
        <v>40</v>
      </c>
      <c r="C5" s="7">
        <f>B4*$J$2 + (C4*$J$3)</f>
        <v>44.120000000000005</v>
      </c>
      <c r="D5" s="7">
        <f t="shared" ref="D5:D68" si="0">(B4*$J$2)+($J$3*(D4+F4))</f>
        <v>44.120000000000005</v>
      </c>
      <c r="E5" s="40">
        <f t="shared" ref="E5:E68" si="1">((B4/G4)*$J$2)+($J$3*(D4+F4))</f>
        <v>44.120000000000005</v>
      </c>
      <c r="F5" s="35">
        <f>$J$9*(D5-D4)+($J$10*F4)</f>
        <v>0</v>
      </c>
      <c r="G5" s="35">
        <f>($J$14*(B5/E5))+($J$15*G4)</f>
        <v>1</v>
      </c>
      <c r="I5">
        <f>J9*(D5-D4)</f>
        <v>0</v>
      </c>
    </row>
    <row r="6" spans="1:12" x14ac:dyDescent="0.2">
      <c r="A6" s="17">
        <v>22737</v>
      </c>
      <c r="B6" s="21">
        <v>43</v>
      </c>
      <c r="C6" s="7">
        <f>B5*$J$2 + (C5*$J$3)</f>
        <v>42.472000000000001</v>
      </c>
      <c r="D6" s="7">
        <f t="shared" si="0"/>
        <v>42.472000000000001</v>
      </c>
      <c r="E6" s="40">
        <f t="shared" si="1"/>
        <v>42.472000000000001</v>
      </c>
      <c r="F6" s="35">
        <f>$J$9*(D6-D5)+($J$10*F5)</f>
        <v>0</v>
      </c>
      <c r="G6" s="35">
        <f>($J$14*(B6/E6))+($J$15*G5)</f>
        <v>1</v>
      </c>
      <c r="I6">
        <f>J10*F4</f>
        <v>0</v>
      </c>
    </row>
    <row r="7" spans="1:12" x14ac:dyDescent="0.2">
      <c r="A7" s="17">
        <v>22767</v>
      </c>
      <c r="B7" s="21">
        <v>38</v>
      </c>
      <c r="C7" s="7">
        <f>B6*$J$2 + (C6*$J$3)</f>
        <v>42.683199999999999</v>
      </c>
      <c r="D7" s="7">
        <f t="shared" si="0"/>
        <v>42.683199999999999</v>
      </c>
      <c r="E7" s="40">
        <f t="shared" si="1"/>
        <v>42.683199999999999</v>
      </c>
      <c r="F7" s="35">
        <f>$J$9*(D7-D6)+($J$10*F6)</f>
        <v>0</v>
      </c>
      <c r="G7" s="35">
        <f>($J$14*(B7/E7))+($J$15*G6)</f>
        <v>1</v>
      </c>
    </row>
    <row r="8" spans="1:12" x14ac:dyDescent="0.2">
      <c r="A8" s="17">
        <v>22798</v>
      </c>
      <c r="B8" s="21">
        <v>44</v>
      </c>
      <c r="C8" s="7">
        <f>B7*$J$2 + (C7*$J$3)</f>
        <v>40.809919999999998</v>
      </c>
      <c r="D8" s="7">
        <f t="shared" si="0"/>
        <v>40.809919999999998</v>
      </c>
      <c r="E8" s="40">
        <f t="shared" si="1"/>
        <v>40.809919999999998</v>
      </c>
      <c r="F8" s="35">
        <f>$J$9*(D8-D7)+($J$10*F7)</f>
        <v>0</v>
      </c>
      <c r="G8" s="35">
        <f>($J$14*(B8/E8))+($J$15*G7)</f>
        <v>1</v>
      </c>
      <c r="I8" t="s">
        <v>12</v>
      </c>
    </row>
    <row r="9" spans="1:12" x14ac:dyDescent="0.2">
      <c r="A9" s="17">
        <v>22828</v>
      </c>
      <c r="B9" s="21">
        <v>35</v>
      </c>
      <c r="C9" s="7">
        <f>B8*$J$2 + (C8*$J$3)</f>
        <v>42.085951999999999</v>
      </c>
      <c r="D9" s="7">
        <f t="shared" si="0"/>
        <v>42.085951999999999</v>
      </c>
      <c r="E9" s="40">
        <f t="shared" si="1"/>
        <v>42.085951999999999</v>
      </c>
      <c r="F9" s="35">
        <f>$J$9*(D9-D8)+($J$10*F8)</f>
        <v>0</v>
      </c>
      <c r="G9" s="35">
        <f>($J$14*(B9/E9))+($J$15*G8)</f>
        <v>1</v>
      </c>
      <c r="I9" t="s">
        <v>12</v>
      </c>
      <c r="J9" s="22">
        <v>0</v>
      </c>
    </row>
    <row r="10" spans="1:12" x14ac:dyDescent="0.2">
      <c r="A10" s="17">
        <v>22859</v>
      </c>
      <c r="B10" s="21">
        <v>39</v>
      </c>
      <c r="C10" s="7">
        <f>B9*$J$2 + (C9*$J$3)</f>
        <v>39.251571200000001</v>
      </c>
      <c r="D10" s="7">
        <f t="shared" si="0"/>
        <v>39.251571200000001</v>
      </c>
      <c r="E10" s="40">
        <f t="shared" si="1"/>
        <v>39.251571200000001</v>
      </c>
      <c r="F10" s="35">
        <f>$J$9*(D10-D9)+($J$10*F9)</f>
        <v>0</v>
      </c>
      <c r="G10" s="35">
        <f>($J$14*(B10/E10))+($J$15*G9)</f>
        <v>1</v>
      </c>
      <c r="I10" t="s">
        <v>21</v>
      </c>
      <c r="J10">
        <f>1-J9</f>
        <v>1</v>
      </c>
    </row>
    <row r="11" spans="1:12" x14ac:dyDescent="0.2">
      <c r="A11" s="17">
        <v>22890</v>
      </c>
      <c r="B11" s="21">
        <v>35</v>
      </c>
      <c r="C11" s="7">
        <f>B10*$J$2 + (C10*$J$3)</f>
        <v>39.150942720000003</v>
      </c>
      <c r="D11" s="7">
        <f t="shared" si="0"/>
        <v>39.150942720000003</v>
      </c>
      <c r="E11" s="40">
        <f t="shared" si="1"/>
        <v>39.150942720000003</v>
      </c>
      <c r="F11" s="35">
        <f>$J$9*(D11-D10)+($J$10*F10)</f>
        <v>0</v>
      </c>
      <c r="G11" s="35">
        <f>($J$14*(B11/E11))+($J$15*G10)</f>
        <v>1</v>
      </c>
    </row>
    <row r="12" spans="1:12" x14ac:dyDescent="0.2">
      <c r="A12" s="17">
        <v>22920</v>
      </c>
      <c r="B12" s="21">
        <v>29</v>
      </c>
      <c r="C12" s="7">
        <f>B11*$J$2 + (C11*$J$3)</f>
        <v>37.490565631999999</v>
      </c>
      <c r="D12" s="7">
        <f t="shared" si="0"/>
        <v>37.490565631999999</v>
      </c>
      <c r="E12" s="40">
        <f t="shared" si="1"/>
        <v>37.490565631999999</v>
      </c>
      <c r="F12" s="35">
        <f>$J$9*(D12-D11)+($J$10*F11)</f>
        <v>0</v>
      </c>
      <c r="G12" s="35">
        <f>($J$14*(B12/E12))+($J$15*G11)</f>
        <v>1</v>
      </c>
    </row>
    <row r="13" spans="1:12" x14ac:dyDescent="0.2">
      <c r="A13" s="17">
        <v>22951</v>
      </c>
      <c r="B13" s="21">
        <v>49</v>
      </c>
      <c r="C13" s="7">
        <f>B12*$J$2 + (C12*$J$3)</f>
        <v>34.094339379200001</v>
      </c>
      <c r="D13" s="7">
        <f t="shared" si="0"/>
        <v>34.094339379200001</v>
      </c>
      <c r="E13" s="40">
        <f t="shared" si="1"/>
        <v>34.094339379200001</v>
      </c>
      <c r="F13" s="35">
        <f>$J$9*(D13-D12)+($J$10*F12)</f>
        <v>0</v>
      </c>
      <c r="G13" s="35">
        <f>($J$14*(B13/E13))+($J$15*G12)</f>
        <v>1</v>
      </c>
      <c r="I13" t="s">
        <v>22</v>
      </c>
    </row>
    <row r="14" spans="1:12" x14ac:dyDescent="0.2">
      <c r="A14" s="17">
        <v>22981</v>
      </c>
      <c r="B14" s="21">
        <v>50</v>
      </c>
      <c r="C14" s="7">
        <f>B13*$J$2 + (C13*$J$3)</f>
        <v>40.056603627520005</v>
      </c>
      <c r="D14" s="7">
        <f t="shared" si="0"/>
        <v>40.056603627520005</v>
      </c>
      <c r="E14" s="40">
        <f t="shared" si="1"/>
        <v>40.056603627520005</v>
      </c>
      <c r="F14" s="35">
        <f>$J$9*(D14-D13)+($J$10*F13)</f>
        <v>0</v>
      </c>
      <c r="G14" s="35">
        <f>($J$14*(B14/E14))+($J$15*G13)</f>
        <v>1</v>
      </c>
      <c r="I14" t="s">
        <v>23</v>
      </c>
      <c r="J14" s="22">
        <v>0</v>
      </c>
      <c r="L14" t="s">
        <v>26</v>
      </c>
    </row>
    <row r="15" spans="1:12" x14ac:dyDescent="0.2">
      <c r="A15" s="17">
        <v>23012</v>
      </c>
      <c r="B15" s="21">
        <v>59</v>
      </c>
      <c r="C15" s="7">
        <f>B14*$J$2 + (C14*$J$3)</f>
        <v>44.033962176512006</v>
      </c>
      <c r="D15" s="7">
        <f t="shared" si="0"/>
        <v>44.033962176512006</v>
      </c>
      <c r="E15" s="40">
        <f t="shared" si="1"/>
        <v>44.033962176512006</v>
      </c>
      <c r="F15" s="35">
        <f>$J$9*(D15-D14)+($J$10*F14)</f>
        <v>0</v>
      </c>
      <c r="G15" s="35">
        <f>($J$14*(B15/E15))+($J$15*G14)</f>
        <v>1</v>
      </c>
      <c r="I15" t="s">
        <v>24</v>
      </c>
      <c r="J15">
        <f>1-J14</f>
        <v>1</v>
      </c>
    </row>
    <row r="16" spans="1:12" x14ac:dyDescent="0.2">
      <c r="A16" s="17">
        <v>23043</v>
      </c>
      <c r="B16" s="21">
        <v>63</v>
      </c>
      <c r="C16" s="7">
        <f>B15*$J$2 + (C15*$J$3)</f>
        <v>50.020377305907203</v>
      </c>
      <c r="D16" s="7">
        <f t="shared" si="0"/>
        <v>50.020377305907203</v>
      </c>
      <c r="E16" s="40">
        <f t="shared" si="1"/>
        <v>50.020377305907203</v>
      </c>
      <c r="F16" s="35">
        <f>$J$9*(D16-D15)+($J$10*F15)</f>
        <v>0</v>
      </c>
      <c r="G16" s="35">
        <f>($J$14*(B16/E16))+($J$15*G15)</f>
        <v>1</v>
      </c>
      <c r="I16" t="s">
        <v>27</v>
      </c>
    </row>
    <row r="17" spans="1:7" x14ac:dyDescent="0.2">
      <c r="A17" s="17">
        <v>23071</v>
      </c>
      <c r="B17" s="21">
        <v>32</v>
      </c>
      <c r="C17" s="7">
        <f>B16*$J$2 + (C16*$J$3)</f>
        <v>55.212226383544319</v>
      </c>
      <c r="D17" s="7">
        <f t="shared" si="0"/>
        <v>55.212226383544319</v>
      </c>
      <c r="E17" s="40">
        <f t="shared" si="1"/>
        <v>55.212226383544319</v>
      </c>
      <c r="F17" s="35">
        <f>$J$9*(D17-D16)+($J$10*F16)</f>
        <v>0</v>
      </c>
      <c r="G17" s="35">
        <f>($J$14*(B17/E17))+($J$15*G16)</f>
        <v>1</v>
      </c>
    </row>
    <row r="18" spans="1:7" x14ac:dyDescent="0.2">
      <c r="A18" s="17">
        <v>23102</v>
      </c>
      <c r="B18" s="21">
        <v>39</v>
      </c>
      <c r="C18" s="7">
        <f>B17*$J$2 + (C17*$J$3)</f>
        <v>45.927335830126594</v>
      </c>
      <c r="D18" s="7">
        <f t="shared" si="0"/>
        <v>45.927335830126594</v>
      </c>
      <c r="E18" s="40">
        <f t="shared" si="1"/>
        <v>45.927335830126594</v>
      </c>
      <c r="F18" s="35">
        <f>$J$9*(D18-D17)+($J$10*F17)</f>
        <v>0</v>
      </c>
      <c r="G18" s="35">
        <f>($J$14*(B18/E18))+($J$15*G17)</f>
        <v>1</v>
      </c>
    </row>
    <row r="19" spans="1:7" x14ac:dyDescent="0.2">
      <c r="A19" s="17">
        <v>23132</v>
      </c>
      <c r="B19" s="21">
        <v>47</v>
      </c>
      <c r="C19" s="7">
        <f>B18*$J$2 + (C18*$J$3)</f>
        <v>43.156401498075958</v>
      </c>
      <c r="D19" s="7">
        <f t="shared" si="0"/>
        <v>43.156401498075958</v>
      </c>
      <c r="E19" s="40">
        <f t="shared" si="1"/>
        <v>43.156401498075958</v>
      </c>
      <c r="F19" s="35">
        <f>$J$9*(D19-D18)+($J$10*F18)</f>
        <v>0</v>
      </c>
      <c r="G19" s="35">
        <f>($J$14*(B19/E19))+($J$15*G18)</f>
        <v>1</v>
      </c>
    </row>
    <row r="20" spans="1:7" x14ac:dyDescent="0.2">
      <c r="A20" s="17">
        <v>23163</v>
      </c>
      <c r="B20" s="21">
        <v>53</v>
      </c>
      <c r="C20" s="7">
        <f>B19*$J$2 + (C19*$J$3)</f>
        <v>44.693840898845579</v>
      </c>
      <c r="D20" s="7">
        <f t="shared" si="0"/>
        <v>44.693840898845579</v>
      </c>
      <c r="E20" s="40">
        <f t="shared" si="1"/>
        <v>44.693840898845579</v>
      </c>
      <c r="F20" s="35">
        <f>$J$9*(D20-D19)+($J$10*F19)</f>
        <v>0</v>
      </c>
      <c r="G20" s="35">
        <f>($J$14*(B20/E20))+($J$15*G19)</f>
        <v>1</v>
      </c>
    </row>
    <row r="21" spans="1:7" x14ac:dyDescent="0.2">
      <c r="A21" s="17">
        <v>23193</v>
      </c>
      <c r="B21" s="21">
        <v>60</v>
      </c>
      <c r="C21" s="7">
        <f>B20*$J$2 + (C20*$J$3)</f>
        <v>48.016304539307349</v>
      </c>
      <c r="D21" s="7">
        <f t="shared" si="0"/>
        <v>48.016304539307349</v>
      </c>
      <c r="E21" s="40">
        <f t="shared" si="1"/>
        <v>48.016304539307349</v>
      </c>
      <c r="F21" s="35">
        <f>$J$9*(D21-D20)+($J$10*F20)</f>
        <v>0</v>
      </c>
      <c r="G21" s="35">
        <f>($J$14*(B21/E21))+($J$15*G20)</f>
        <v>1</v>
      </c>
    </row>
    <row r="22" spans="1:7" x14ac:dyDescent="0.2">
      <c r="A22" s="17">
        <v>23224</v>
      </c>
      <c r="B22" s="21">
        <v>57</v>
      </c>
      <c r="C22" s="7">
        <f>B21*$J$2 + (C21*$J$3)</f>
        <v>52.809782723584405</v>
      </c>
      <c r="D22" s="7">
        <f t="shared" si="0"/>
        <v>52.809782723584405</v>
      </c>
      <c r="E22" s="40">
        <f t="shared" si="1"/>
        <v>52.809782723584405</v>
      </c>
      <c r="F22" s="35">
        <f>$J$9*(D22-D21)+($J$10*F21)</f>
        <v>0</v>
      </c>
      <c r="G22" s="35">
        <f>($J$14*(B22/E22))+($J$15*G21)</f>
        <v>1</v>
      </c>
    </row>
    <row r="23" spans="1:7" x14ac:dyDescent="0.2">
      <c r="A23" s="17">
        <v>23255</v>
      </c>
      <c r="B23" s="21">
        <v>52</v>
      </c>
      <c r="C23" s="7">
        <f>B22*$J$2 + (C22*$J$3)</f>
        <v>54.485869634150646</v>
      </c>
      <c r="D23" s="7">
        <f t="shared" si="0"/>
        <v>54.485869634150646</v>
      </c>
      <c r="E23" s="40">
        <f t="shared" si="1"/>
        <v>54.485869634150646</v>
      </c>
      <c r="F23" s="35">
        <f>$J$9*(D23-D22)+($J$10*F22)</f>
        <v>0</v>
      </c>
      <c r="G23" s="35">
        <f>($J$14*(B23/E23))+($J$15*G22)</f>
        <v>1</v>
      </c>
    </row>
    <row r="24" spans="1:7" x14ac:dyDescent="0.2">
      <c r="A24" s="17">
        <v>23285</v>
      </c>
      <c r="B24" s="21">
        <v>70</v>
      </c>
      <c r="C24" s="7">
        <f>B23*$J$2 + (C23*$J$3)</f>
        <v>53.491521780490388</v>
      </c>
      <c r="D24" s="7">
        <f t="shared" si="0"/>
        <v>53.491521780490388</v>
      </c>
      <c r="E24" s="40">
        <f t="shared" si="1"/>
        <v>53.491521780490388</v>
      </c>
      <c r="F24" s="35">
        <f>$J$9*(D24-D23)+($J$10*F23)</f>
        <v>0</v>
      </c>
      <c r="G24" s="35">
        <f>($J$14*(B24/E24))+($J$15*G23)</f>
        <v>1</v>
      </c>
    </row>
    <row r="25" spans="1:7" x14ac:dyDescent="0.2">
      <c r="A25" s="17">
        <v>23316</v>
      </c>
      <c r="B25" s="21">
        <v>90</v>
      </c>
      <c r="C25" s="7">
        <f>B24*$J$2 + (C24*$J$3)</f>
        <v>60.094913068294233</v>
      </c>
      <c r="D25" s="7">
        <f t="shared" si="0"/>
        <v>60.094913068294233</v>
      </c>
      <c r="E25" s="40">
        <f t="shared" si="1"/>
        <v>60.094913068294233</v>
      </c>
      <c r="F25" s="35">
        <f>$J$9*(D25-D24)+($J$10*F24)</f>
        <v>0</v>
      </c>
      <c r="G25" s="35">
        <f>($J$14*(B25/E25))+($J$15*G24)</f>
        <v>1</v>
      </c>
    </row>
    <row r="26" spans="1:7" x14ac:dyDescent="0.2">
      <c r="A26" s="17">
        <v>23346</v>
      </c>
      <c r="B26" s="21">
        <v>74</v>
      </c>
      <c r="C26" s="7">
        <f>B25*$J$2 + (C25*$J$3)</f>
        <v>72.056947840976534</v>
      </c>
      <c r="D26" s="7">
        <f t="shared" si="0"/>
        <v>72.056947840976534</v>
      </c>
      <c r="E26" s="40">
        <f t="shared" si="1"/>
        <v>72.056947840976534</v>
      </c>
      <c r="F26" s="35">
        <f>$J$9*(D26-D25)+($J$10*F25)</f>
        <v>0</v>
      </c>
      <c r="G26" s="35">
        <f>($J$14*(B26/E26))+($J$15*G25)</f>
        <v>1</v>
      </c>
    </row>
    <row r="27" spans="1:7" x14ac:dyDescent="0.2">
      <c r="A27" s="17">
        <v>23377</v>
      </c>
      <c r="B27" s="21">
        <v>62</v>
      </c>
      <c r="C27" s="7">
        <f>B26*$J$2 + (C26*$J$3)</f>
        <v>72.83416870458592</v>
      </c>
      <c r="D27" s="7">
        <f t="shared" si="0"/>
        <v>72.83416870458592</v>
      </c>
      <c r="E27" s="40">
        <f t="shared" si="1"/>
        <v>72.83416870458592</v>
      </c>
      <c r="F27" s="35">
        <f>$J$9*(D27-D26)+($J$10*F26)</f>
        <v>0</v>
      </c>
      <c r="G27" s="35">
        <f>($J$14*(B27/E27))+($J$15*G26)</f>
        <v>1</v>
      </c>
    </row>
    <row r="28" spans="1:7" x14ac:dyDescent="0.2">
      <c r="A28" s="17">
        <v>23408</v>
      </c>
      <c r="B28" s="21">
        <v>55</v>
      </c>
      <c r="C28" s="7">
        <f>B27*$J$2 + (C27*$J$3)</f>
        <v>68.500501222751552</v>
      </c>
      <c r="D28" s="7">
        <f t="shared" si="0"/>
        <v>68.500501222751552</v>
      </c>
      <c r="E28" s="40">
        <f t="shared" si="1"/>
        <v>68.500501222751552</v>
      </c>
      <c r="F28" s="35">
        <f>$J$9*(D28-D27)+($J$10*F27)</f>
        <v>0</v>
      </c>
      <c r="G28" s="35">
        <f>($J$14*(B28/E28))+($J$15*G27)</f>
        <v>1</v>
      </c>
    </row>
    <row r="29" spans="1:7" x14ac:dyDescent="0.2">
      <c r="A29" s="17">
        <v>23437</v>
      </c>
      <c r="B29" s="21">
        <v>84</v>
      </c>
      <c r="C29" s="7">
        <f>B28*$J$2 + (C28*$J$3)</f>
        <v>63.100300733650933</v>
      </c>
      <c r="D29" s="7">
        <f t="shared" si="0"/>
        <v>63.100300733650933</v>
      </c>
      <c r="E29" s="40">
        <f t="shared" si="1"/>
        <v>63.100300733650933</v>
      </c>
      <c r="F29" s="35">
        <f>$J$9*(D29-D28)+($J$10*F28)</f>
        <v>0</v>
      </c>
      <c r="G29" s="35">
        <f>($J$14*(B29/E29))+($J$15*G28)</f>
        <v>1</v>
      </c>
    </row>
    <row r="30" spans="1:7" x14ac:dyDescent="0.2">
      <c r="A30" s="17">
        <v>23468</v>
      </c>
      <c r="B30" s="21">
        <v>94</v>
      </c>
      <c r="C30" s="7">
        <f>B29*$J$2 + (C29*$J$3)</f>
        <v>71.460180440190555</v>
      </c>
      <c r="D30" s="7">
        <f t="shared" si="0"/>
        <v>71.460180440190555</v>
      </c>
      <c r="E30" s="40">
        <f t="shared" si="1"/>
        <v>71.460180440190555</v>
      </c>
      <c r="F30" s="35">
        <f>$J$9*(D30-D29)+($J$10*F29)</f>
        <v>0</v>
      </c>
      <c r="G30" s="35">
        <f>($J$14*(B30/E30))+($J$15*G29)</f>
        <v>1</v>
      </c>
    </row>
    <row r="31" spans="1:7" x14ac:dyDescent="0.2">
      <c r="A31" s="17">
        <v>23498</v>
      </c>
      <c r="B31" s="21">
        <v>70</v>
      </c>
      <c r="C31" s="7">
        <f>B30*$J$2 + (C30*$J$3)</f>
        <v>80.47610826411433</v>
      </c>
      <c r="D31" s="7">
        <f t="shared" si="0"/>
        <v>80.47610826411433</v>
      </c>
      <c r="E31" s="40">
        <f t="shared" si="1"/>
        <v>80.47610826411433</v>
      </c>
      <c r="F31" s="35">
        <f>$J$9*(D31-D30)+($J$10*F30)</f>
        <v>0</v>
      </c>
      <c r="G31" s="35">
        <f>($J$14*(B31/E31))+($J$15*G30)</f>
        <v>1</v>
      </c>
    </row>
    <row r="32" spans="1:7" x14ac:dyDescent="0.2">
      <c r="A32" s="17">
        <v>23529</v>
      </c>
      <c r="B32" s="21">
        <v>108</v>
      </c>
      <c r="C32" s="7">
        <f>B31*$J$2 + (C31*$J$3)</f>
        <v>76.285664958468601</v>
      </c>
      <c r="D32" s="7">
        <f t="shared" si="0"/>
        <v>76.285664958468601</v>
      </c>
      <c r="E32" s="40">
        <f t="shared" si="1"/>
        <v>76.285664958468601</v>
      </c>
      <c r="F32" s="35">
        <f>$J$9*(D32-D31)+($J$10*F31)</f>
        <v>0</v>
      </c>
      <c r="G32" s="35">
        <f>($J$14*(B32/E32))+($J$15*G31)</f>
        <v>1</v>
      </c>
    </row>
    <row r="33" spans="1:7" x14ac:dyDescent="0.2">
      <c r="A33" s="17">
        <v>23559</v>
      </c>
      <c r="B33" s="21">
        <v>139</v>
      </c>
      <c r="C33" s="7">
        <f>B32*$J$2 + (C32*$J$3)</f>
        <v>88.971398975081172</v>
      </c>
      <c r="D33" s="7">
        <f t="shared" si="0"/>
        <v>88.971398975081172</v>
      </c>
      <c r="E33" s="40">
        <f t="shared" si="1"/>
        <v>88.971398975081172</v>
      </c>
      <c r="F33" s="35">
        <f>$J$9*(D33-D32)+($J$10*F32)</f>
        <v>0</v>
      </c>
      <c r="G33" s="35">
        <f>($J$14*(B33/E33))+($J$15*G32)</f>
        <v>1</v>
      </c>
    </row>
    <row r="34" spans="1:7" x14ac:dyDescent="0.2">
      <c r="A34" s="17">
        <v>23590</v>
      </c>
      <c r="B34" s="21">
        <v>120</v>
      </c>
      <c r="C34" s="7">
        <f>B33*$J$2 + (C33*$J$3)</f>
        <v>108.98283938504871</v>
      </c>
      <c r="D34" s="7">
        <f t="shared" si="0"/>
        <v>108.98283938504871</v>
      </c>
      <c r="E34" s="40">
        <f t="shared" si="1"/>
        <v>108.98283938504871</v>
      </c>
      <c r="F34" s="35">
        <f>$J$9*(D34-D33)+($J$10*F33)</f>
        <v>0</v>
      </c>
      <c r="G34" s="35">
        <f>($J$14*(B34/E34))+($J$15*G33)</f>
        <v>1</v>
      </c>
    </row>
    <row r="35" spans="1:7" x14ac:dyDescent="0.2">
      <c r="A35" s="17">
        <v>23621</v>
      </c>
      <c r="B35" s="21">
        <v>97</v>
      </c>
      <c r="C35" s="7">
        <f>B34*$J$2 + (C34*$J$3)</f>
        <v>113.38970363102922</v>
      </c>
      <c r="D35" s="7">
        <f t="shared" si="0"/>
        <v>113.38970363102922</v>
      </c>
      <c r="E35" s="40">
        <f t="shared" si="1"/>
        <v>113.38970363102922</v>
      </c>
      <c r="F35" s="35">
        <f>$J$9*(D35-D34)+($J$10*F34)</f>
        <v>0</v>
      </c>
      <c r="G35" s="35">
        <f>($J$14*(B35/E35))+($J$15*G34)</f>
        <v>1</v>
      </c>
    </row>
    <row r="36" spans="1:7" x14ac:dyDescent="0.2">
      <c r="A36" s="17">
        <v>23651</v>
      </c>
      <c r="B36" s="21">
        <v>126</v>
      </c>
      <c r="C36" s="7">
        <f>B35*$J$2 + (C35*$J$3)</f>
        <v>106.83382217861754</v>
      </c>
      <c r="D36" s="7">
        <f t="shared" si="0"/>
        <v>106.83382217861754</v>
      </c>
      <c r="E36" s="40">
        <f t="shared" si="1"/>
        <v>106.83382217861754</v>
      </c>
      <c r="F36" s="35">
        <f>$J$9*(D36-D35)+($J$10*F35)</f>
        <v>0</v>
      </c>
      <c r="G36" s="35">
        <f>($J$14*(B36/E36))+($J$15*G35)</f>
        <v>1</v>
      </c>
    </row>
    <row r="37" spans="1:7" x14ac:dyDescent="0.2">
      <c r="A37" s="17">
        <v>23682</v>
      </c>
      <c r="B37" s="21">
        <v>149</v>
      </c>
      <c r="C37" s="7">
        <f>B36*$J$2 + (C36*$J$3)</f>
        <v>114.50029330717052</v>
      </c>
      <c r="D37" s="7">
        <f t="shared" si="0"/>
        <v>114.50029330717052</v>
      </c>
      <c r="E37" s="40">
        <f t="shared" si="1"/>
        <v>114.50029330717052</v>
      </c>
      <c r="F37" s="35">
        <f>$J$9*(D37-D36)+($J$10*F36)</f>
        <v>0</v>
      </c>
      <c r="G37" s="35">
        <f>($J$14*(B37/E37))+($J$15*G36)</f>
        <v>1</v>
      </c>
    </row>
    <row r="38" spans="1:7" x14ac:dyDescent="0.2">
      <c r="A38" s="17">
        <v>23712</v>
      </c>
      <c r="B38" s="21">
        <v>158</v>
      </c>
      <c r="C38" s="7">
        <f>B37*$J$2 + (C37*$J$3)</f>
        <v>128.30017598430231</v>
      </c>
      <c r="D38" s="7">
        <f t="shared" si="0"/>
        <v>128.30017598430231</v>
      </c>
      <c r="E38" s="40">
        <f t="shared" si="1"/>
        <v>128.30017598430231</v>
      </c>
      <c r="F38" s="35">
        <f>$J$9*(D38-D37)+($J$10*F37)</f>
        <v>0</v>
      </c>
      <c r="G38" s="35">
        <f>($J$14*(B38/E38))+($J$15*G37)</f>
        <v>1</v>
      </c>
    </row>
    <row r="39" spans="1:7" x14ac:dyDescent="0.2">
      <c r="A39" s="17">
        <v>23743</v>
      </c>
      <c r="B39" s="21">
        <v>124</v>
      </c>
      <c r="C39" s="7">
        <f>B38*$J$2 + (C38*$J$3)</f>
        <v>140.18010559058138</v>
      </c>
      <c r="D39" s="7">
        <f t="shared" si="0"/>
        <v>140.18010559058138</v>
      </c>
      <c r="E39" s="40">
        <f t="shared" si="1"/>
        <v>140.18010559058138</v>
      </c>
      <c r="F39" s="35">
        <f>$J$9*(D39-D38)+($J$10*F38)</f>
        <v>0</v>
      </c>
      <c r="G39" s="35">
        <f>($J$14*(B39/E39))+($J$15*G38)</f>
        <v>1</v>
      </c>
    </row>
    <row r="40" spans="1:7" x14ac:dyDescent="0.2">
      <c r="A40" s="17">
        <v>23774</v>
      </c>
      <c r="B40" s="21">
        <v>140</v>
      </c>
      <c r="C40" s="7">
        <f>B39*$J$2 + (C39*$J$3)</f>
        <v>133.70806335434884</v>
      </c>
      <c r="D40" s="7">
        <f t="shared" si="0"/>
        <v>133.70806335434884</v>
      </c>
      <c r="E40" s="40">
        <f t="shared" si="1"/>
        <v>133.70806335434884</v>
      </c>
      <c r="F40" s="35">
        <f>$J$9*(D40-D39)+($J$10*F39)</f>
        <v>0</v>
      </c>
      <c r="G40" s="35">
        <f>($J$14*(B40/E40))+($J$15*G39)</f>
        <v>1</v>
      </c>
    </row>
    <row r="41" spans="1:7" x14ac:dyDescent="0.2">
      <c r="A41" s="17">
        <v>23802</v>
      </c>
      <c r="B41" s="21">
        <v>109</v>
      </c>
      <c r="C41" s="7">
        <f>B40*$J$2 + (C40*$J$3)</f>
        <v>136.2248380126093</v>
      </c>
      <c r="D41" s="7">
        <f t="shared" si="0"/>
        <v>136.2248380126093</v>
      </c>
      <c r="E41" s="40">
        <f t="shared" si="1"/>
        <v>136.2248380126093</v>
      </c>
      <c r="F41" s="35">
        <f>$J$9*(D41-D40)+($J$10*F40)</f>
        <v>0</v>
      </c>
      <c r="G41" s="35">
        <f>($J$14*(B41/E41))+($J$15*G40)</f>
        <v>1</v>
      </c>
    </row>
    <row r="42" spans="1:7" x14ac:dyDescent="0.2">
      <c r="A42" s="17">
        <v>23833</v>
      </c>
      <c r="B42" s="21">
        <v>114</v>
      </c>
      <c r="C42" s="7">
        <f>B41*$J$2 + (C41*$J$3)</f>
        <v>125.33490280756558</v>
      </c>
      <c r="D42" s="7">
        <f t="shared" si="0"/>
        <v>125.33490280756558</v>
      </c>
      <c r="E42" s="40">
        <f t="shared" si="1"/>
        <v>125.33490280756558</v>
      </c>
      <c r="F42" s="35">
        <f>$J$9*(D42-D41)+($J$10*F41)</f>
        <v>0</v>
      </c>
      <c r="G42" s="35">
        <f>($J$14*(B42/E42))+($J$15*G41)</f>
        <v>1</v>
      </c>
    </row>
    <row r="43" spans="1:7" x14ac:dyDescent="0.2">
      <c r="A43" s="17">
        <v>23863</v>
      </c>
      <c r="B43" s="21">
        <v>77</v>
      </c>
      <c r="C43" s="7">
        <f>B42*$J$2 + (C42*$J$3)</f>
        <v>120.80094168453934</v>
      </c>
      <c r="D43" s="7">
        <f t="shared" si="0"/>
        <v>120.80094168453934</v>
      </c>
      <c r="E43" s="40">
        <f t="shared" si="1"/>
        <v>120.80094168453934</v>
      </c>
      <c r="F43" s="35">
        <f>$J$9*(D43-D42)+($J$10*F42)</f>
        <v>0</v>
      </c>
      <c r="G43" s="35">
        <f>($J$14*(B43/E43))+($J$15*G42)</f>
        <v>1</v>
      </c>
    </row>
    <row r="44" spans="1:7" x14ac:dyDescent="0.2">
      <c r="A44" s="17">
        <v>23894</v>
      </c>
      <c r="B44" s="21">
        <v>120</v>
      </c>
      <c r="C44" s="7">
        <f>B43*$J$2 + (C43*$J$3)</f>
        <v>103.28056501072359</v>
      </c>
      <c r="D44" s="7">
        <f t="shared" si="0"/>
        <v>103.28056501072359</v>
      </c>
      <c r="E44" s="40">
        <f t="shared" si="1"/>
        <v>103.28056501072359</v>
      </c>
      <c r="F44" s="35">
        <f>$J$9*(D44-D43)+($J$10*F43)</f>
        <v>0</v>
      </c>
      <c r="G44" s="35">
        <f>($J$14*(B44/E44))+($J$15*G43)</f>
        <v>1</v>
      </c>
    </row>
    <row r="45" spans="1:7" x14ac:dyDescent="0.2">
      <c r="A45" s="17">
        <v>23924</v>
      </c>
      <c r="B45" s="21">
        <v>133</v>
      </c>
      <c r="C45" s="7">
        <f>B44*$J$2 + (C44*$J$3)</f>
        <v>109.96833900643415</v>
      </c>
      <c r="D45" s="7">
        <f t="shared" si="0"/>
        <v>109.96833900643415</v>
      </c>
      <c r="E45" s="40">
        <f t="shared" si="1"/>
        <v>109.96833900643415</v>
      </c>
      <c r="F45" s="35">
        <f>$J$9*(D45-D44)+($J$10*F44)</f>
        <v>0</v>
      </c>
      <c r="G45" s="35">
        <f>($J$14*(B45/E45))+($J$15*G44)</f>
        <v>1</v>
      </c>
    </row>
    <row r="46" spans="1:7" x14ac:dyDescent="0.2">
      <c r="A46" s="17">
        <v>23955</v>
      </c>
      <c r="B46" s="21">
        <v>110</v>
      </c>
      <c r="C46" s="7">
        <f>B45*$J$2 + (C45*$J$3)</f>
        <v>119.18100340386049</v>
      </c>
      <c r="D46" s="7">
        <f t="shared" si="0"/>
        <v>119.18100340386049</v>
      </c>
      <c r="E46" s="40">
        <f t="shared" si="1"/>
        <v>119.18100340386049</v>
      </c>
      <c r="F46" s="35">
        <f>$J$9*(D46-D45)+($J$10*F45)</f>
        <v>0</v>
      </c>
      <c r="G46" s="35">
        <f>($J$14*(B46/E46))+($J$15*G45)</f>
        <v>1</v>
      </c>
    </row>
    <row r="47" spans="1:7" x14ac:dyDescent="0.2">
      <c r="A47" s="17">
        <v>23986</v>
      </c>
      <c r="B47" s="21">
        <v>92</v>
      </c>
      <c r="C47" s="7">
        <f>B46*$J$2 + (C46*$J$3)</f>
        <v>115.50860204231628</v>
      </c>
      <c r="D47" s="7">
        <f t="shared" si="0"/>
        <v>115.50860204231628</v>
      </c>
      <c r="E47" s="40">
        <f t="shared" si="1"/>
        <v>115.50860204231628</v>
      </c>
      <c r="F47" s="35">
        <f>$J$9*(D47-D46)+($J$10*F46)</f>
        <v>0</v>
      </c>
      <c r="G47" s="35">
        <f>($J$14*(B47/E47))+($J$15*G46)</f>
        <v>1</v>
      </c>
    </row>
    <row r="48" spans="1:7" x14ac:dyDescent="0.2">
      <c r="A48" s="17">
        <v>24016</v>
      </c>
      <c r="B48" s="21">
        <v>97</v>
      </c>
      <c r="C48" s="7">
        <f>B47*$J$2 + (C47*$J$3)</f>
        <v>106.10516122538976</v>
      </c>
      <c r="D48" s="7">
        <f t="shared" si="0"/>
        <v>106.10516122538976</v>
      </c>
      <c r="E48" s="40">
        <f t="shared" si="1"/>
        <v>106.10516122538976</v>
      </c>
      <c r="F48" s="35">
        <f>$J$9*(D48-D47)+($J$10*F47)</f>
        <v>0</v>
      </c>
      <c r="G48" s="35">
        <f>($J$14*(B48/E48))+($J$15*G47)</f>
        <v>1</v>
      </c>
    </row>
    <row r="49" spans="1:7" x14ac:dyDescent="0.2">
      <c r="A49" s="17">
        <v>24047</v>
      </c>
      <c r="B49" s="21">
        <v>78</v>
      </c>
      <c r="C49" s="7">
        <f>B48*$J$2 + (C48*$J$3)</f>
        <v>102.46309673523386</v>
      </c>
      <c r="D49" s="7">
        <f t="shared" si="0"/>
        <v>102.46309673523386</v>
      </c>
      <c r="E49" s="40">
        <f t="shared" si="1"/>
        <v>102.46309673523386</v>
      </c>
      <c r="F49" s="35">
        <f>$J$9*(D49-D48)+($J$10*F48)</f>
        <v>0</v>
      </c>
      <c r="G49" s="35">
        <f>($J$14*(B49/E49))+($J$15*G48)</f>
        <v>1</v>
      </c>
    </row>
    <row r="50" spans="1:7" x14ac:dyDescent="0.2">
      <c r="A50" s="17">
        <v>24077</v>
      </c>
      <c r="B50" s="21">
        <v>99</v>
      </c>
      <c r="C50" s="7">
        <f>B49*$J$2 + (C49*$J$3)</f>
        <v>92.677858041140325</v>
      </c>
      <c r="D50" s="7">
        <f t="shared" si="0"/>
        <v>92.677858041140325</v>
      </c>
      <c r="E50" s="40">
        <f t="shared" si="1"/>
        <v>92.677858041140325</v>
      </c>
      <c r="F50" s="35">
        <f>$J$9*(D50-D49)+($J$10*F49)</f>
        <v>0</v>
      </c>
      <c r="G50" s="35">
        <f>($J$14*(B50/E50))+($J$15*G49)</f>
        <v>1</v>
      </c>
    </row>
    <row r="51" spans="1:7" x14ac:dyDescent="0.2">
      <c r="A51" s="17">
        <v>24108</v>
      </c>
      <c r="B51" s="21">
        <v>107</v>
      </c>
      <c r="C51" s="7">
        <f>B50*$J$2 + (C50*$J$3)</f>
        <v>95.206714824684198</v>
      </c>
      <c r="D51" s="7">
        <f t="shared" si="0"/>
        <v>95.206714824684198</v>
      </c>
      <c r="E51" s="40">
        <f t="shared" si="1"/>
        <v>95.206714824684198</v>
      </c>
      <c r="F51" s="35">
        <f>$J$9*(D51-D50)+($J$10*F50)</f>
        <v>0</v>
      </c>
      <c r="G51" s="35">
        <f>($J$14*(B51/E51))+($J$15*G50)</f>
        <v>1</v>
      </c>
    </row>
    <row r="52" spans="1:7" x14ac:dyDescent="0.2">
      <c r="A52" s="17">
        <v>24139</v>
      </c>
      <c r="B52" s="21">
        <v>112</v>
      </c>
      <c r="C52" s="7">
        <f>B51*$J$2 + (C51*$J$3)</f>
        <v>99.924028894810519</v>
      </c>
      <c r="D52" s="7">
        <f t="shared" si="0"/>
        <v>99.924028894810519</v>
      </c>
      <c r="E52" s="40">
        <f t="shared" si="1"/>
        <v>99.924028894810519</v>
      </c>
      <c r="F52" s="35">
        <f>$J$9*(D52-D51)+($J$10*F51)</f>
        <v>0</v>
      </c>
      <c r="G52" s="35">
        <f>($J$14*(B52/E52))+($J$15*G51)</f>
        <v>1</v>
      </c>
    </row>
    <row r="53" spans="1:7" x14ac:dyDescent="0.2">
      <c r="A53" s="17">
        <v>24167</v>
      </c>
      <c r="B53" s="21">
        <v>90</v>
      </c>
      <c r="C53" s="7">
        <f>B52*$J$2 + (C52*$J$3)</f>
        <v>104.75441733688632</v>
      </c>
      <c r="D53" s="7">
        <f t="shared" si="0"/>
        <v>104.75441733688632</v>
      </c>
      <c r="E53" s="40">
        <f t="shared" si="1"/>
        <v>104.75441733688632</v>
      </c>
      <c r="F53" s="35">
        <f>$J$9*(D53-D52)+($J$10*F52)</f>
        <v>0</v>
      </c>
      <c r="G53" s="35">
        <f>($J$14*(B53/E53))+($J$15*G52)</f>
        <v>1</v>
      </c>
    </row>
    <row r="54" spans="1:7" x14ac:dyDescent="0.2">
      <c r="A54" s="17">
        <v>24198</v>
      </c>
      <c r="B54" s="21">
        <v>98</v>
      </c>
      <c r="C54" s="7">
        <f>B53*$J$2 + (C53*$J$3)</f>
        <v>98.852650402131786</v>
      </c>
      <c r="D54" s="7">
        <f t="shared" si="0"/>
        <v>98.852650402131786</v>
      </c>
      <c r="E54" s="40">
        <f t="shared" si="1"/>
        <v>98.852650402131786</v>
      </c>
      <c r="F54" s="35">
        <f>$J$9*(D54-D53)+($J$10*F53)</f>
        <v>0</v>
      </c>
      <c r="G54" s="35">
        <f>($J$14*(B54/E54))+($J$15*G53)</f>
        <v>1</v>
      </c>
    </row>
    <row r="55" spans="1:7" x14ac:dyDescent="0.2">
      <c r="A55" s="17">
        <v>24228</v>
      </c>
      <c r="B55" s="21">
        <v>125</v>
      </c>
      <c r="C55" s="7">
        <f>B54*$J$2 + (C54*$J$3)</f>
        <v>98.511590241279066</v>
      </c>
      <c r="D55" s="7">
        <f t="shared" si="0"/>
        <v>98.511590241279066</v>
      </c>
      <c r="E55" s="40">
        <f t="shared" si="1"/>
        <v>98.511590241279066</v>
      </c>
      <c r="F55" s="35">
        <f>$J$9*(D55-D54)+($J$10*F54)</f>
        <v>0</v>
      </c>
      <c r="G55" s="35">
        <f>($J$14*(B55/E55))+($J$15*G54)</f>
        <v>1</v>
      </c>
    </row>
    <row r="56" spans="1:7" x14ac:dyDescent="0.2">
      <c r="A56" s="17">
        <v>24259</v>
      </c>
      <c r="B56" s="21">
        <v>155</v>
      </c>
      <c r="C56" s="7">
        <f>B55*$J$2 + (C55*$J$3)</f>
        <v>109.10695414476743</v>
      </c>
      <c r="D56" s="7">
        <f t="shared" si="0"/>
        <v>109.10695414476743</v>
      </c>
      <c r="E56" s="40">
        <f t="shared" si="1"/>
        <v>109.10695414476743</v>
      </c>
      <c r="F56" s="35">
        <f>$J$9*(D56-D55)+($J$10*F55)</f>
        <v>0</v>
      </c>
      <c r="G56" s="35">
        <f>($J$14*(B56/E56))+($J$15*G55)</f>
        <v>1</v>
      </c>
    </row>
    <row r="57" spans="1:7" x14ac:dyDescent="0.2">
      <c r="A57" s="17">
        <v>24289</v>
      </c>
      <c r="B57" s="21">
        <v>190</v>
      </c>
      <c r="C57" s="7">
        <f>B56*$J$2 + (C56*$J$3)</f>
        <v>127.46417248686045</v>
      </c>
      <c r="D57" s="7">
        <f t="shared" si="0"/>
        <v>127.46417248686045</v>
      </c>
      <c r="E57" s="40">
        <f t="shared" si="1"/>
        <v>127.46417248686045</v>
      </c>
      <c r="F57" s="35">
        <f>$J$9*(D57-D56)+($J$10*F56)</f>
        <v>0</v>
      </c>
      <c r="G57" s="35">
        <f>($J$14*(B57/E57))+($J$15*G56)</f>
        <v>1</v>
      </c>
    </row>
    <row r="58" spans="1:7" x14ac:dyDescent="0.2">
      <c r="A58" s="17">
        <v>24320</v>
      </c>
      <c r="B58" s="21">
        <v>236</v>
      </c>
      <c r="C58" s="7">
        <f>B57*$J$2 + (C57*$J$3)</f>
        <v>152.47850349211626</v>
      </c>
      <c r="D58" s="7">
        <f t="shared" si="0"/>
        <v>152.47850349211626</v>
      </c>
      <c r="E58" s="40">
        <f t="shared" si="1"/>
        <v>152.47850349211626</v>
      </c>
      <c r="F58" s="35">
        <f>$J$9*(D58-D57)+($J$10*F57)</f>
        <v>0</v>
      </c>
      <c r="G58" s="35">
        <f>($J$14*(B58/E58))+($J$15*G57)</f>
        <v>1</v>
      </c>
    </row>
    <row r="59" spans="1:7" x14ac:dyDescent="0.2">
      <c r="A59" s="17">
        <v>24351</v>
      </c>
      <c r="B59" s="21">
        <v>189</v>
      </c>
      <c r="C59" s="7">
        <f>B58*$J$2 + (C58*$J$3)</f>
        <v>185.88710209526977</v>
      </c>
      <c r="D59" s="7">
        <f t="shared" si="0"/>
        <v>185.88710209526977</v>
      </c>
      <c r="E59" s="40">
        <f t="shared" si="1"/>
        <v>185.88710209526977</v>
      </c>
      <c r="F59" s="35">
        <f>$J$9*(D59-D58)+($J$10*F58)</f>
        <v>0</v>
      </c>
      <c r="G59" s="35">
        <f>($J$14*(B59/E59))+($J$15*G58)</f>
        <v>1</v>
      </c>
    </row>
    <row r="60" spans="1:7" x14ac:dyDescent="0.2">
      <c r="A60" s="17">
        <v>24381</v>
      </c>
      <c r="B60" s="21">
        <v>174</v>
      </c>
      <c r="C60" s="7">
        <f>B59*$J$2 + (C59*$J$3)</f>
        <v>187.13226125716187</v>
      </c>
      <c r="D60" s="7">
        <f t="shared" si="0"/>
        <v>187.13226125716187</v>
      </c>
      <c r="E60" s="40">
        <f t="shared" si="1"/>
        <v>187.13226125716187</v>
      </c>
      <c r="F60" s="35">
        <f>$J$9*(D60-D59)+($J$10*F59)</f>
        <v>0</v>
      </c>
      <c r="G60" s="35">
        <f>($J$14*(B60/E60))+($J$15*G59)</f>
        <v>1</v>
      </c>
    </row>
    <row r="61" spans="1:7" x14ac:dyDescent="0.2">
      <c r="A61" s="17">
        <v>24412</v>
      </c>
      <c r="B61" s="21">
        <v>178</v>
      </c>
      <c r="C61" s="7">
        <f>B60*$J$2 + (C60*$J$3)</f>
        <v>181.87935675429713</v>
      </c>
      <c r="D61" s="7">
        <f t="shared" si="0"/>
        <v>181.87935675429713</v>
      </c>
      <c r="E61" s="40">
        <f t="shared" si="1"/>
        <v>181.87935675429713</v>
      </c>
      <c r="F61" s="35">
        <f>$J$9*(D61-D60)+($J$10*F60)</f>
        <v>0</v>
      </c>
      <c r="G61" s="35">
        <f>($J$14*(B61/E61))+($J$15*G60)</f>
        <v>1</v>
      </c>
    </row>
    <row r="62" spans="1:7" x14ac:dyDescent="0.2">
      <c r="A62" s="17">
        <v>24442</v>
      </c>
      <c r="B62" s="21">
        <v>136</v>
      </c>
      <c r="C62" s="7">
        <f>B61*$J$2 + (C61*$J$3)</f>
        <v>180.32761405257827</v>
      </c>
      <c r="D62" s="7">
        <f t="shared" si="0"/>
        <v>180.32761405257827</v>
      </c>
      <c r="E62" s="40">
        <f t="shared" si="1"/>
        <v>180.32761405257827</v>
      </c>
      <c r="F62" s="35">
        <f>$J$9*(D62-D61)+($J$10*F61)</f>
        <v>0</v>
      </c>
      <c r="G62" s="35">
        <f>($J$14*(B62/E62))+($J$15*G61)</f>
        <v>1</v>
      </c>
    </row>
    <row r="63" spans="1:7" x14ac:dyDescent="0.2">
      <c r="A63" s="17">
        <v>24473</v>
      </c>
      <c r="B63" s="21">
        <v>161</v>
      </c>
      <c r="C63" s="7">
        <f>B62*$J$2 + (C62*$J$3)</f>
        <v>162.59656843154698</v>
      </c>
      <c r="D63" s="7">
        <f t="shared" si="0"/>
        <v>162.59656843154698</v>
      </c>
      <c r="E63" s="40">
        <f t="shared" si="1"/>
        <v>162.59656843154698</v>
      </c>
      <c r="F63" s="35">
        <f>$J$9*(D63-D62)+($J$10*F62)</f>
        <v>0</v>
      </c>
      <c r="G63" s="35">
        <f>($J$14*(B63/E63))+($J$15*G62)</f>
        <v>1</v>
      </c>
    </row>
    <row r="64" spans="1:7" x14ac:dyDescent="0.2">
      <c r="A64" s="17">
        <v>24504</v>
      </c>
      <c r="B64" s="21">
        <v>171</v>
      </c>
      <c r="C64" s="7">
        <f>B63*$J$2 + (C63*$J$3)</f>
        <v>161.95794105892821</v>
      </c>
      <c r="D64" s="7">
        <f t="shared" si="0"/>
        <v>161.95794105892821</v>
      </c>
      <c r="E64" s="40">
        <f t="shared" si="1"/>
        <v>161.95794105892821</v>
      </c>
      <c r="F64" s="35">
        <f>$J$9*(D64-D63)+($J$10*F63)</f>
        <v>0</v>
      </c>
      <c r="G64" s="35">
        <f>($J$14*(B64/E64))+($J$15*G63)</f>
        <v>1</v>
      </c>
    </row>
    <row r="65" spans="1:7" x14ac:dyDescent="0.2">
      <c r="A65" s="17">
        <v>24532</v>
      </c>
      <c r="B65" s="21">
        <v>149</v>
      </c>
      <c r="C65" s="7">
        <f>B64*$J$2 + (C64*$J$3)</f>
        <v>165.57476463535693</v>
      </c>
      <c r="D65" s="7">
        <f t="shared" si="0"/>
        <v>165.57476463535693</v>
      </c>
      <c r="E65" s="40">
        <f t="shared" si="1"/>
        <v>165.57476463535693</v>
      </c>
      <c r="F65" s="35">
        <f>$J$9*(D65-D64)+($J$10*F64)</f>
        <v>0</v>
      </c>
      <c r="G65" s="35">
        <f>($J$14*(B65/E65))+($J$15*G64)</f>
        <v>1</v>
      </c>
    </row>
    <row r="66" spans="1:7" x14ac:dyDescent="0.2">
      <c r="A66" s="17">
        <v>24563</v>
      </c>
      <c r="B66" s="21">
        <v>184</v>
      </c>
      <c r="C66" s="7">
        <f>B65*$J$2 + (C65*$J$3)</f>
        <v>158.94485878121415</v>
      </c>
      <c r="D66" s="7">
        <f t="shared" si="0"/>
        <v>158.94485878121415</v>
      </c>
      <c r="E66" s="40">
        <f t="shared" si="1"/>
        <v>158.94485878121415</v>
      </c>
      <c r="F66" s="35">
        <f>$J$9*(D66-D65)+($J$10*F65)</f>
        <v>0</v>
      </c>
      <c r="G66" s="35">
        <f>($J$14*(B66/E66))+($J$15*G65)</f>
        <v>1</v>
      </c>
    </row>
    <row r="67" spans="1:7" x14ac:dyDescent="0.2">
      <c r="A67" s="17">
        <v>24593</v>
      </c>
      <c r="B67" s="21">
        <v>155</v>
      </c>
      <c r="C67" s="7">
        <f>B66*$J$2 + (C66*$J$3)</f>
        <v>168.96691526872848</v>
      </c>
      <c r="D67" s="7">
        <f t="shared" si="0"/>
        <v>168.96691526872848</v>
      </c>
      <c r="E67" s="40">
        <f t="shared" si="1"/>
        <v>168.96691526872848</v>
      </c>
      <c r="F67" s="35">
        <f>$J$9*(D67-D66)+($J$10*F66)</f>
        <v>0</v>
      </c>
      <c r="G67" s="35">
        <f>($J$14*(B67/E67))+($J$15*G66)</f>
        <v>1</v>
      </c>
    </row>
    <row r="68" spans="1:7" x14ac:dyDescent="0.2">
      <c r="A68" s="17">
        <v>24624</v>
      </c>
      <c r="B68" s="21">
        <v>276</v>
      </c>
      <c r="C68" s="7">
        <f>B67*$J$2 + (C67*$J$3)</f>
        <v>163.38014916123709</v>
      </c>
      <c r="D68" s="7">
        <f t="shared" si="0"/>
        <v>163.38014916123709</v>
      </c>
      <c r="E68" s="40">
        <f t="shared" si="1"/>
        <v>163.38014916123709</v>
      </c>
      <c r="F68" s="35">
        <f>$J$9*(D68-D67)+($J$10*F67)</f>
        <v>0</v>
      </c>
      <c r="G68" s="35">
        <f>($J$14*(B68/E68))+($J$15*G67)</f>
        <v>1</v>
      </c>
    </row>
    <row r="69" spans="1:7" x14ac:dyDescent="0.2">
      <c r="A69" s="17">
        <v>24654</v>
      </c>
      <c r="B69" s="21">
        <v>224</v>
      </c>
      <c r="C69" s="7">
        <f>B68*$J$2 + (C68*$J$3)</f>
        <v>208.42808949674225</v>
      </c>
      <c r="D69" s="7">
        <f t="shared" ref="D69:D119" si="2">(B68*$J$2)+($J$3*(D68+F68))</f>
        <v>208.42808949674225</v>
      </c>
      <c r="E69" s="40">
        <f t="shared" ref="E69:E119" si="3">((B68/G68)*$J$2)+($J$3*(D68+F68))</f>
        <v>208.42808949674225</v>
      </c>
      <c r="F69" s="35">
        <f>$J$9*(D69-D68)+($J$10*F68)</f>
        <v>0</v>
      </c>
      <c r="G69" s="35">
        <f>($J$14*(B69/E69))+($J$15*G68)</f>
        <v>1</v>
      </c>
    </row>
    <row r="70" spans="1:7" x14ac:dyDescent="0.2">
      <c r="A70" s="17">
        <v>24685</v>
      </c>
      <c r="B70" s="21">
        <v>213</v>
      </c>
      <c r="C70" s="7">
        <f>B69*$J$2 + (C69*$J$3)</f>
        <v>214.65685369804535</v>
      </c>
      <c r="D70" s="7">
        <f t="shared" si="2"/>
        <v>214.65685369804535</v>
      </c>
      <c r="E70" s="40">
        <f t="shared" si="3"/>
        <v>214.65685369804535</v>
      </c>
      <c r="F70" s="35">
        <f>$J$9*(D70-D69)+($J$10*F69)</f>
        <v>0</v>
      </c>
      <c r="G70" s="35">
        <f>($J$14*(B70/E70))+($J$15*G69)</f>
        <v>1</v>
      </c>
    </row>
    <row r="71" spans="1:7" x14ac:dyDescent="0.2">
      <c r="A71" s="17">
        <v>24716</v>
      </c>
      <c r="B71" s="21">
        <v>279</v>
      </c>
      <c r="C71" s="7">
        <f>B70*$J$2 + (C70*$J$3)</f>
        <v>213.99411221882718</v>
      </c>
      <c r="D71" s="7">
        <f t="shared" si="2"/>
        <v>213.99411221882718</v>
      </c>
      <c r="E71" s="40">
        <f t="shared" si="3"/>
        <v>213.99411221882718</v>
      </c>
      <c r="F71" s="35">
        <f>$J$9*(D71-D70)+($J$10*F70)</f>
        <v>0</v>
      </c>
      <c r="G71" s="35">
        <f>($J$14*(B71/E71))+($J$15*G70)</f>
        <v>1</v>
      </c>
    </row>
    <row r="72" spans="1:7" x14ac:dyDescent="0.2">
      <c r="A72" s="17">
        <v>24746</v>
      </c>
      <c r="B72" s="21">
        <v>268</v>
      </c>
      <c r="C72" s="7">
        <f>B71*$J$2 + (C71*$J$3)</f>
        <v>239.99646733129629</v>
      </c>
      <c r="D72" s="7">
        <f t="shared" si="2"/>
        <v>239.99646733129629</v>
      </c>
      <c r="E72" s="40">
        <f t="shared" si="3"/>
        <v>239.99646733129629</v>
      </c>
      <c r="F72" s="35">
        <f>$J$9*(D72-D71)+($J$10*F71)</f>
        <v>0</v>
      </c>
      <c r="G72" s="35">
        <f>($J$14*(B72/E72))+($J$15*G71)</f>
        <v>1</v>
      </c>
    </row>
    <row r="73" spans="1:7" x14ac:dyDescent="0.2">
      <c r="A73" s="17">
        <v>24777</v>
      </c>
      <c r="B73" s="21">
        <v>287</v>
      </c>
      <c r="C73" s="7">
        <f>B72*$J$2 + (C72*$J$3)</f>
        <v>251.19788039877778</v>
      </c>
      <c r="D73" s="7">
        <f t="shared" si="2"/>
        <v>251.19788039877778</v>
      </c>
      <c r="E73" s="40">
        <f t="shared" si="3"/>
        <v>251.19788039877778</v>
      </c>
      <c r="F73" s="35">
        <f>$J$9*(D73-D72)+($J$10*F72)</f>
        <v>0</v>
      </c>
      <c r="G73" s="35">
        <f>($J$14*(B73/E73))+($J$15*G72)</f>
        <v>1</v>
      </c>
    </row>
    <row r="74" spans="1:7" x14ac:dyDescent="0.2">
      <c r="A74" s="17">
        <v>24807</v>
      </c>
      <c r="B74" s="21">
        <v>238</v>
      </c>
      <c r="C74" s="7">
        <f>B73*$J$2 + (C73*$J$3)</f>
        <v>265.51872823926669</v>
      </c>
      <c r="D74" s="7">
        <f t="shared" si="2"/>
        <v>265.51872823926669</v>
      </c>
      <c r="E74" s="40">
        <f t="shared" si="3"/>
        <v>265.51872823926669</v>
      </c>
      <c r="F74" s="35">
        <f>$J$9*(D74-D73)+($J$10*F73)</f>
        <v>0</v>
      </c>
      <c r="G74" s="35">
        <f>($J$14*(B74/E74))+($J$15*G73)</f>
        <v>1</v>
      </c>
    </row>
    <row r="75" spans="1:7" x14ac:dyDescent="0.2">
      <c r="A75" s="17">
        <v>24838</v>
      </c>
      <c r="B75" s="21">
        <v>213</v>
      </c>
      <c r="C75" s="7">
        <f>B74*$J$2 + (C74*$J$3)</f>
        <v>254.51123694355999</v>
      </c>
      <c r="D75" s="7">
        <f t="shared" si="2"/>
        <v>254.51123694355999</v>
      </c>
      <c r="E75" s="40">
        <f t="shared" si="3"/>
        <v>254.51123694355999</v>
      </c>
      <c r="F75" s="35">
        <f>$J$9*(D75-D74)+($J$10*F74)</f>
        <v>0</v>
      </c>
      <c r="G75" s="35">
        <f>($J$14*(B75/E75))+($J$15*G74)</f>
        <v>1</v>
      </c>
    </row>
    <row r="76" spans="1:7" x14ac:dyDescent="0.2">
      <c r="A76" s="17">
        <v>24869</v>
      </c>
      <c r="B76" s="21">
        <v>257</v>
      </c>
      <c r="C76" s="7">
        <f>B75*$J$2 + (C75*$J$3)</f>
        <v>237.90674216613598</v>
      </c>
      <c r="D76" s="7">
        <f t="shared" si="2"/>
        <v>237.90674216613598</v>
      </c>
      <c r="E76" s="40">
        <f t="shared" si="3"/>
        <v>237.90674216613598</v>
      </c>
      <c r="F76" s="35">
        <f>$J$9*(D76-D75)+($J$10*F75)</f>
        <v>0</v>
      </c>
      <c r="G76" s="35">
        <f>($J$14*(B76/E76))+($J$15*G75)</f>
        <v>1</v>
      </c>
    </row>
    <row r="77" spans="1:7" x14ac:dyDescent="0.2">
      <c r="A77" s="17">
        <v>24898</v>
      </c>
      <c r="B77" s="21">
        <v>293</v>
      </c>
      <c r="C77" s="7">
        <f>B76*$J$2 + (C76*$J$3)</f>
        <v>245.54404529968158</v>
      </c>
      <c r="D77" s="7">
        <f t="shared" si="2"/>
        <v>245.54404529968158</v>
      </c>
      <c r="E77" s="40">
        <f t="shared" si="3"/>
        <v>245.54404529968158</v>
      </c>
      <c r="F77" s="35">
        <f>$J$9*(D77-D76)+($J$10*F76)</f>
        <v>0</v>
      </c>
      <c r="G77" s="35">
        <f>($J$14*(B77/E77))+($J$15*G76)</f>
        <v>1</v>
      </c>
    </row>
    <row r="78" spans="1:7" x14ac:dyDescent="0.2">
      <c r="A78" s="17">
        <v>24929</v>
      </c>
      <c r="B78" s="21">
        <v>212</v>
      </c>
      <c r="C78" s="7">
        <f>B77*$J$2 + (C77*$J$3)</f>
        <v>264.52642717980893</v>
      </c>
      <c r="D78" s="7">
        <f t="shared" si="2"/>
        <v>264.52642717980893</v>
      </c>
      <c r="E78" s="40">
        <f t="shared" si="3"/>
        <v>264.52642717980893</v>
      </c>
      <c r="F78" s="35">
        <f>$J$9*(D78-D77)+($J$10*F77)</f>
        <v>0</v>
      </c>
      <c r="G78" s="35">
        <f>($J$14*(B78/E78))+($J$15*G77)</f>
        <v>1</v>
      </c>
    </row>
    <row r="79" spans="1:7" x14ac:dyDescent="0.2">
      <c r="A79" s="17">
        <v>24959</v>
      </c>
      <c r="B79" s="21">
        <v>246</v>
      </c>
      <c r="C79" s="7">
        <f>B78*$J$2 + (C78*$J$3)</f>
        <v>243.51585630788537</v>
      </c>
      <c r="D79" s="7">
        <f t="shared" si="2"/>
        <v>243.51585630788537</v>
      </c>
      <c r="E79" s="40">
        <f t="shared" si="3"/>
        <v>243.51585630788537</v>
      </c>
      <c r="F79" s="35">
        <f>$J$9*(D79-D78)+($J$10*F78)</f>
        <v>0</v>
      </c>
      <c r="G79" s="35">
        <f>($J$14*(B79/E79))+($J$15*G78)</f>
        <v>1</v>
      </c>
    </row>
    <row r="80" spans="1:7" x14ac:dyDescent="0.2">
      <c r="A80" s="17">
        <v>24990</v>
      </c>
      <c r="B80" s="21">
        <v>353</v>
      </c>
      <c r="C80" s="7">
        <f>B79*$J$2 + (C79*$J$3)</f>
        <v>244.50951378473121</v>
      </c>
      <c r="D80" s="7">
        <f t="shared" si="2"/>
        <v>244.50951378473121</v>
      </c>
      <c r="E80" s="40">
        <f t="shared" si="3"/>
        <v>244.50951378473121</v>
      </c>
      <c r="F80" s="35">
        <f>$J$9*(D80-D79)+($J$10*F79)</f>
        <v>0</v>
      </c>
      <c r="G80" s="35">
        <f>($J$14*(B80/E80))+($J$15*G79)</f>
        <v>1</v>
      </c>
    </row>
    <row r="81" spans="1:7" x14ac:dyDescent="0.2">
      <c r="A81" s="17">
        <v>25020</v>
      </c>
      <c r="B81" s="21">
        <v>339</v>
      </c>
      <c r="C81" s="7">
        <f>B80*$J$2 + (C80*$J$3)</f>
        <v>287.90570827083877</v>
      </c>
      <c r="D81" s="7">
        <f t="shared" si="2"/>
        <v>287.90570827083877</v>
      </c>
      <c r="E81" s="40">
        <f t="shared" si="3"/>
        <v>287.90570827083877</v>
      </c>
      <c r="F81" s="35">
        <f>$J$9*(D81-D80)+($J$10*F80)</f>
        <v>0</v>
      </c>
      <c r="G81" s="35">
        <f>($J$14*(B81/E81))+($J$15*G80)</f>
        <v>1</v>
      </c>
    </row>
    <row r="82" spans="1:7" x14ac:dyDescent="0.2">
      <c r="A82" s="17">
        <v>25051</v>
      </c>
      <c r="B82" s="21">
        <v>308</v>
      </c>
      <c r="C82" s="7">
        <f>B81*$J$2 + (C81*$J$3)</f>
        <v>308.34342496250326</v>
      </c>
      <c r="D82" s="7">
        <f t="shared" si="2"/>
        <v>308.34342496250326</v>
      </c>
      <c r="E82" s="40">
        <f t="shared" si="3"/>
        <v>308.34342496250326</v>
      </c>
      <c r="F82" s="35">
        <f>$J$9*(D82-D81)+($J$10*F81)</f>
        <v>0</v>
      </c>
      <c r="G82" s="35">
        <f>($J$14*(B82/E82))+($J$15*G81)</f>
        <v>1</v>
      </c>
    </row>
    <row r="83" spans="1:7" x14ac:dyDescent="0.2">
      <c r="A83" s="17">
        <v>25082</v>
      </c>
      <c r="B83" s="21">
        <v>247</v>
      </c>
      <c r="C83" s="7">
        <f>B82*$J$2 + (C82*$J$3)</f>
        <v>308.20605497750194</v>
      </c>
      <c r="D83" s="7">
        <f t="shared" si="2"/>
        <v>308.20605497750194</v>
      </c>
      <c r="E83" s="40">
        <f t="shared" si="3"/>
        <v>308.20605497750194</v>
      </c>
      <c r="F83" s="35">
        <f>$J$9*(D83-D82)+($J$10*F82)</f>
        <v>0</v>
      </c>
      <c r="G83" s="35">
        <f>($J$14*(B83/E83))+($J$15*G82)</f>
        <v>1</v>
      </c>
    </row>
    <row r="84" spans="1:7" x14ac:dyDescent="0.2">
      <c r="A84" s="17">
        <v>25112</v>
      </c>
      <c r="B84" s="21">
        <v>257</v>
      </c>
      <c r="C84" s="7">
        <f>B83*$J$2 + (C83*$J$3)</f>
        <v>283.72363298650117</v>
      </c>
      <c r="D84" s="7">
        <f t="shared" si="2"/>
        <v>283.72363298650117</v>
      </c>
      <c r="E84" s="40">
        <f t="shared" si="3"/>
        <v>283.72363298650117</v>
      </c>
      <c r="F84" s="35">
        <f>$J$9*(D84-D83)+($J$10*F83)</f>
        <v>0</v>
      </c>
      <c r="G84" s="35">
        <f>($J$14*(B84/E84))+($J$15*G83)</f>
        <v>1</v>
      </c>
    </row>
    <row r="85" spans="1:7" x14ac:dyDescent="0.2">
      <c r="A85" s="17">
        <v>25143</v>
      </c>
      <c r="B85" s="21">
        <v>322</v>
      </c>
      <c r="C85" s="7">
        <f>B84*$J$2 + (C84*$J$3)</f>
        <v>273.03417979190067</v>
      </c>
      <c r="D85" s="7">
        <f t="shared" si="2"/>
        <v>273.03417979190067</v>
      </c>
      <c r="E85" s="40">
        <f t="shared" si="3"/>
        <v>273.03417979190067</v>
      </c>
      <c r="F85" s="35">
        <f>$J$9*(D85-D84)+($J$10*F84)</f>
        <v>0</v>
      </c>
      <c r="G85" s="35">
        <f>($J$14*(B85/E85))+($J$15*G84)</f>
        <v>1</v>
      </c>
    </row>
    <row r="86" spans="1:7" x14ac:dyDescent="0.2">
      <c r="A86" s="17">
        <v>25173</v>
      </c>
      <c r="B86" s="21">
        <v>298</v>
      </c>
      <c r="C86" s="7">
        <f>B85*$J$2 + (C85*$J$3)</f>
        <v>292.62050787514045</v>
      </c>
      <c r="D86" s="7">
        <f t="shared" si="2"/>
        <v>292.62050787514045</v>
      </c>
      <c r="E86" s="40">
        <f t="shared" si="3"/>
        <v>292.62050787514045</v>
      </c>
      <c r="F86" s="35">
        <f>$J$9*(D86-D85)+($J$10*F85)</f>
        <v>0</v>
      </c>
      <c r="G86" s="35">
        <f>($J$14*(B86/E86))+($J$15*G85)</f>
        <v>1</v>
      </c>
    </row>
    <row r="87" spans="1:7" x14ac:dyDescent="0.2">
      <c r="A87" s="17">
        <v>25204</v>
      </c>
      <c r="B87" s="21">
        <v>273</v>
      </c>
      <c r="C87" s="7">
        <f>B86*$J$2 + (C86*$J$3)</f>
        <v>294.77230472508427</v>
      </c>
      <c r="D87" s="7">
        <f t="shared" si="2"/>
        <v>294.77230472508427</v>
      </c>
      <c r="E87" s="40">
        <f t="shared" si="3"/>
        <v>294.77230472508427</v>
      </c>
      <c r="F87" s="35">
        <f>$J$9*(D87-D86)+($J$10*F86)</f>
        <v>0</v>
      </c>
      <c r="G87" s="35">
        <f>($J$14*(B87/E87))+($J$15*G86)</f>
        <v>1</v>
      </c>
    </row>
    <row r="88" spans="1:7" x14ac:dyDescent="0.2">
      <c r="A88" s="17">
        <v>25235</v>
      </c>
      <c r="B88" s="21">
        <v>312</v>
      </c>
      <c r="C88" s="7">
        <f>B87*$J$2 + (C87*$J$3)</f>
        <v>286.06338283505056</v>
      </c>
      <c r="D88" s="7">
        <f t="shared" si="2"/>
        <v>286.06338283505056</v>
      </c>
      <c r="E88" s="40">
        <f t="shared" si="3"/>
        <v>286.06338283505056</v>
      </c>
      <c r="F88" s="35">
        <f>$J$9*(D88-D87)+($J$10*F87)</f>
        <v>0</v>
      </c>
      <c r="G88" s="35">
        <f>($J$14*(B88/E88))+($J$15*G87)</f>
        <v>1</v>
      </c>
    </row>
    <row r="89" spans="1:7" x14ac:dyDescent="0.2">
      <c r="A89" s="17">
        <v>25263</v>
      </c>
      <c r="B89" s="21">
        <v>249</v>
      </c>
      <c r="C89" s="7">
        <f>B88*$J$2 + (C88*$J$3)</f>
        <v>296.43802970103036</v>
      </c>
      <c r="D89" s="7">
        <f t="shared" si="2"/>
        <v>296.43802970103036</v>
      </c>
      <c r="E89" s="40">
        <f t="shared" si="3"/>
        <v>296.43802970103036</v>
      </c>
      <c r="F89" s="35">
        <f>$J$9*(D89-D88)+($J$10*F88)</f>
        <v>0</v>
      </c>
      <c r="G89" s="35">
        <f>($J$14*(B89/E89))+($J$15*G88)</f>
        <v>1</v>
      </c>
    </row>
    <row r="90" spans="1:7" x14ac:dyDescent="0.2">
      <c r="A90" s="17">
        <v>25294</v>
      </c>
      <c r="B90" s="21">
        <v>286</v>
      </c>
      <c r="C90" s="7">
        <f>B89*$J$2 + (C89*$J$3)</f>
        <v>277.46281782061823</v>
      </c>
      <c r="D90" s="7">
        <f t="shared" si="2"/>
        <v>277.46281782061823</v>
      </c>
      <c r="E90" s="40">
        <f t="shared" si="3"/>
        <v>277.46281782061823</v>
      </c>
      <c r="F90" s="35">
        <f>$J$9*(D90-D89)+($J$10*F89)</f>
        <v>0</v>
      </c>
      <c r="G90" s="35">
        <f>($J$14*(B90/E90))+($J$15*G89)</f>
        <v>1</v>
      </c>
    </row>
    <row r="91" spans="1:7" x14ac:dyDescent="0.2">
      <c r="A91" s="17">
        <v>25324</v>
      </c>
      <c r="B91" s="21">
        <v>279</v>
      </c>
      <c r="C91" s="7">
        <f>B90*$J$2 + (C90*$J$3)</f>
        <v>280.87769069237095</v>
      </c>
      <c r="D91" s="7">
        <f t="shared" si="2"/>
        <v>280.87769069237095</v>
      </c>
      <c r="E91" s="40">
        <f t="shared" si="3"/>
        <v>280.87769069237095</v>
      </c>
      <c r="F91" s="35">
        <f>$J$9*(D91-D90)+($J$10*F90)</f>
        <v>0</v>
      </c>
      <c r="G91" s="35">
        <f>($J$14*(B91/E91))+($J$15*G90)</f>
        <v>1</v>
      </c>
    </row>
    <row r="92" spans="1:7" x14ac:dyDescent="0.2">
      <c r="A92" s="17">
        <v>25355</v>
      </c>
      <c r="B92" s="21">
        <v>309</v>
      </c>
      <c r="C92" s="7">
        <f>B91*$J$2 + (C91*$J$3)</f>
        <v>280.12661441542258</v>
      </c>
      <c r="D92" s="7">
        <f t="shared" si="2"/>
        <v>280.12661441542258</v>
      </c>
      <c r="E92" s="40">
        <f t="shared" si="3"/>
        <v>280.12661441542258</v>
      </c>
      <c r="F92" s="35">
        <f>$J$9*(D92-D91)+($J$10*F91)</f>
        <v>0</v>
      </c>
      <c r="G92" s="35">
        <f>($J$14*(B92/E92))+($J$15*G91)</f>
        <v>1</v>
      </c>
    </row>
    <row r="93" spans="1:7" x14ac:dyDescent="0.2">
      <c r="A93" s="17">
        <v>25385</v>
      </c>
      <c r="B93" s="21">
        <v>401</v>
      </c>
      <c r="C93" s="7">
        <f>B92*$J$2 + (C92*$J$3)</f>
        <v>291.67596864925355</v>
      </c>
      <c r="D93" s="7">
        <f t="shared" si="2"/>
        <v>291.67596864925355</v>
      </c>
      <c r="E93" s="40">
        <f t="shared" si="3"/>
        <v>291.67596864925355</v>
      </c>
      <c r="F93" s="35">
        <f>$J$9*(D93-D92)+($J$10*F92)</f>
        <v>0</v>
      </c>
      <c r="G93" s="35">
        <f>($J$14*(B93/E93))+($J$15*G92)</f>
        <v>1</v>
      </c>
    </row>
    <row r="94" spans="1:7" x14ac:dyDescent="0.2">
      <c r="A94" s="17">
        <v>25416</v>
      </c>
      <c r="B94" s="21">
        <v>309</v>
      </c>
      <c r="C94" s="7">
        <f>B93*$J$2 + (C93*$J$3)</f>
        <v>335.40558118955209</v>
      </c>
      <c r="D94" s="7">
        <f t="shared" si="2"/>
        <v>335.40558118955209</v>
      </c>
      <c r="E94" s="40">
        <f t="shared" si="3"/>
        <v>335.40558118955209</v>
      </c>
      <c r="F94" s="35">
        <f>$J$9*(D94-D93)+($J$10*F93)</f>
        <v>0</v>
      </c>
      <c r="G94" s="35">
        <f>($J$14*(B94/E94))+($J$15*G93)</f>
        <v>1</v>
      </c>
    </row>
    <row r="95" spans="1:7" x14ac:dyDescent="0.2">
      <c r="A95" s="17">
        <v>25447</v>
      </c>
      <c r="B95" s="21">
        <v>328</v>
      </c>
      <c r="C95" s="7">
        <f>B94*$J$2 + (C94*$J$3)</f>
        <v>324.84334871373125</v>
      </c>
      <c r="D95" s="7">
        <f t="shared" si="2"/>
        <v>324.84334871373125</v>
      </c>
      <c r="E95" s="40">
        <f t="shared" si="3"/>
        <v>324.84334871373125</v>
      </c>
      <c r="F95" s="35">
        <f>$J$9*(D95-D94)+($J$10*F94)</f>
        <v>0</v>
      </c>
      <c r="G95" s="35">
        <f>($J$14*(B95/E95))+($J$15*G94)</f>
        <v>1</v>
      </c>
    </row>
    <row r="96" spans="1:7" x14ac:dyDescent="0.2">
      <c r="A96" s="17">
        <v>25477</v>
      </c>
      <c r="B96" s="21">
        <v>353</v>
      </c>
      <c r="C96" s="7">
        <f>B95*$J$2 + (C95*$J$3)</f>
        <v>326.10600922823875</v>
      </c>
      <c r="D96" s="7">
        <f t="shared" si="2"/>
        <v>326.10600922823875</v>
      </c>
      <c r="E96" s="40">
        <f t="shared" si="3"/>
        <v>326.10600922823875</v>
      </c>
      <c r="F96" s="35">
        <f>$J$9*(D96-D95)+($J$10*F95)</f>
        <v>0</v>
      </c>
      <c r="G96" s="35">
        <f>($J$14*(B96/E96))+($J$15*G95)</f>
        <v>1</v>
      </c>
    </row>
    <row r="97" spans="1:7" x14ac:dyDescent="0.2">
      <c r="A97" s="17">
        <v>25508</v>
      </c>
      <c r="B97" s="21">
        <v>354</v>
      </c>
      <c r="C97" s="7">
        <f>B96*$J$2 + (C96*$J$3)</f>
        <v>336.86360553694328</v>
      </c>
      <c r="D97" s="7">
        <f t="shared" si="2"/>
        <v>336.86360553694328</v>
      </c>
      <c r="E97" s="40">
        <f t="shared" si="3"/>
        <v>336.86360553694328</v>
      </c>
      <c r="F97" s="35">
        <f>$J$9*(D97-D96)+($J$10*F96)</f>
        <v>0</v>
      </c>
      <c r="G97" s="35">
        <f>($J$14*(B97/E97))+($J$15*G96)</f>
        <v>1</v>
      </c>
    </row>
    <row r="98" spans="1:7" x14ac:dyDescent="0.2">
      <c r="A98" s="17">
        <v>25538</v>
      </c>
      <c r="B98" s="21">
        <v>327</v>
      </c>
      <c r="C98" s="7">
        <f>B97*$J$2 + (C97*$J$3)</f>
        <v>343.71816332216599</v>
      </c>
      <c r="D98" s="7">
        <f t="shared" si="2"/>
        <v>343.71816332216599</v>
      </c>
      <c r="E98" s="40">
        <f t="shared" si="3"/>
        <v>343.71816332216599</v>
      </c>
      <c r="F98" s="35">
        <f>$J$9*(D98-D97)+($J$10*F97)</f>
        <v>0</v>
      </c>
      <c r="G98" s="35">
        <f>($J$14*(B98/E98))+($J$15*G97)</f>
        <v>1</v>
      </c>
    </row>
    <row r="99" spans="1:7" x14ac:dyDescent="0.2">
      <c r="A99" s="17">
        <v>25569</v>
      </c>
      <c r="B99" s="21">
        <v>324</v>
      </c>
      <c r="C99" s="7">
        <f>B98*$J$2 + (C98*$J$3)</f>
        <v>337.03089799329962</v>
      </c>
      <c r="D99" s="7">
        <f t="shared" si="2"/>
        <v>337.03089799329962</v>
      </c>
      <c r="E99" s="40">
        <f t="shared" si="3"/>
        <v>337.03089799329962</v>
      </c>
      <c r="F99" s="35">
        <f>$J$9*(D99-D98)+($J$10*F98)</f>
        <v>0</v>
      </c>
      <c r="G99" s="35">
        <f>($J$14*(B99/E99))+($J$15*G98)</f>
        <v>1</v>
      </c>
    </row>
    <row r="100" spans="1:7" x14ac:dyDescent="0.2">
      <c r="A100" s="17">
        <v>25600</v>
      </c>
      <c r="B100" s="21">
        <v>285</v>
      </c>
      <c r="C100" s="7">
        <f>B99*$J$2 + (C99*$J$3)</f>
        <v>331.81853879597975</v>
      </c>
      <c r="D100" s="7">
        <f t="shared" si="2"/>
        <v>331.81853879597975</v>
      </c>
      <c r="E100" s="40">
        <f t="shared" si="3"/>
        <v>331.81853879597975</v>
      </c>
      <c r="F100" s="35">
        <f>$J$9*(D100-D99)+($J$10*F99)</f>
        <v>0</v>
      </c>
      <c r="G100" s="35">
        <f>($J$14*(B100/E100))+($J$15*G99)</f>
        <v>1</v>
      </c>
    </row>
    <row r="101" spans="1:7" x14ac:dyDescent="0.2">
      <c r="A101" s="17">
        <v>25628</v>
      </c>
      <c r="B101" s="21">
        <v>243</v>
      </c>
      <c r="C101" s="7">
        <f>B100*$J$2 + (C100*$J$3)</f>
        <v>313.09112327758783</v>
      </c>
      <c r="D101" s="7">
        <f t="shared" si="2"/>
        <v>313.09112327758783</v>
      </c>
      <c r="E101" s="40">
        <f t="shared" si="3"/>
        <v>313.09112327758783</v>
      </c>
      <c r="F101" s="35">
        <f>$J$9*(D101-D100)+($J$10*F100)</f>
        <v>0</v>
      </c>
      <c r="G101" s="35">
        <f>($J$14*(B101/E101))+($J$15*G100)</f>
        <v>1</v>
      </c>
    </row>
    <row r="102" spans="1:7" x14ac:dyDescent="0.2">
      <c r="A102" s="17">
        <v>25659</v>
      </c>
      <c r="B102" s="21">
        <v>241</v>
      </c>
      <c r="C102" s="7">
        <f>B101*$J$2 + (C101*$J$3)</f>
        <v>285.05467396655268</v>
      </c>
      <c r="D102" s="7">
        <f t="shared" si="2"/>
        <v>285.05467396655268</v>
      </c>
      <c r="E102" s="40">
        <f t="shared" si="3"/>
        <v>285.05467396655268</v>
      </c>
      <c r="F102" s="35">
        <f>$J$9*(D102-D101)+($J$10*F101)</f>
        <v>0</v>
      </c>
      <c r="G102" s="35">
        <f>($J$14*(B102/E102))+($J$15*G101)</f>
        <v>1</v>
      </c>
    </row>
    <row r="103" spans="1:7" x14ac:dyDescent="0.2">
      <c r="A103" s="17">
        <v>25689</v>
      </c>
      <c r="B103" s="21">
        <v>287</v>
      </c>
      <c r="C103" s="7">
        <f>B102*$J$2 + (C102*$J$3)</f>
        <v>267.43280437993161</v>
      </c>
      <c r="D103" s="7">
        <f t="shared" si="2"/>
        <v>267.43280437993161</v>
      </c>
      <c r="E103" s="40">
        <f t="shared" si="3"/>
        <v>267.43280437993161</v>
      </c>
      <c r="F103" s="35">
        <f>$J$9*(D103-D102)+($J$10*F102)</f>
        <v>0</v>
      </c>
      <c r="G103" s="35">
        <f>($J$14*(B103/E103))+($J$15*G102)</f>
        <v>1</v>
      </c>
    </row>
    <row r="104" spans="1:7" x14ac:dyDescent="0.2">
      <c r="A104" s="17">
        <v>25720</v>
      </c>
      <c r="B104" s="21">
        <v>355</v>
      </c>
      <c r="C104" s="7">
        <f>B103*$J$2 + (C103*$J$3)</f>
        <v>275.25968262795897</v>
      </c>
      <c r="D104" s="7">
        <f t="shared" si="2"/>
        <v>275.25968262795897</v>
      </c>
      <c r="E104" s="40">
        <f t="shared" si="3"/>
        <v>275.25968262795897</v>
      </c>
      <c r="F104" s="35">
        <f>$J$9*(D104-D103)+($J$10*F103)</f>
        <v>0</v>
      </c>
      <c r="G104" s="35">
        <f>($J$14*(B104/E104))+($J$15*G103)</f>
        <v>1</v>
      </c>
    </row>
    <row r="105" spans="1:7" x14ac:dyDescent="0.2">
      <c r="A105" s="17">
        <v>25750</v>
      </c>
      <c r="B105" s="21">
        <v>460</v>
      </c>
      <c r="C105" s="7">
        <f>B104*$J$2 + (C104*$J$3)</f>
        <v>307.15580957677537</v>
      </c>
      <c r="D105" s="7">
        <f t="shared" si="2"/>
        <v>307.15580957677537</v>
      </c>
      <c r="E105" s="40">
        <f t="shared" si="3"/>
        <v>307.15580957677537</v>
      </c>
      <c r="F105" s="35">
        <f>$J$9*(D105-D104)+($J$10*F104)</f>
        <v>0</v>
      </c>
      <c r="G105" s="35">
        <f>($J$14*(B105/E105))+($J$15*G104)</f>
        <v>1</v>
      </c>
    </row>
    <row r="106" spans="1:7" x14ac:dyDescent="0.2">
      <c r="A106" s="17">
        <v>25781</v>
      </c>
      <c r="B106" s="21">
        <v>364</v>
      </c>
      <c r="C106" s="7">
        <f>B105*$J$2 + (C105*$J$3)</f>
        <v>368.29348574606524</v>
      </c>
      <c r="D106" s="7">
        <f t="shared" si="2"/>
        <v>368.29348574606524</v>
      </c>
      <c r="E106" s="40">
        <f t="shared" si="3"/>
        <v>368.29348574606524</v>
      </c>
      <c r="F106" s="35">
        <f>$J$9*(D106-D105)+($J$10*F105)</f>
        <v>0</v>
      </c>
      <c r="G106" s="35">
        <f>($J$14*(B106/E106))+($J$15*G105)</f>
        <v>1</v>
      </c>
    </row>
    <row r="107" spans="1:7" x14ac:dyDescent="0.2">
      <c r="A107" s="17">
        <v>25812</v>
      </c>
      <c r="B107" s="21">
        <v>487</v>
      </c>
      <c r="C107" s="7">
        <f>B106*$J$2 + (C106*$J$3)</f>
        <v>366.5760914476391</v>
      </c>
      <c r="D107" s="7">
        <f t="shared" si="2"/>
        <v>366.5760914476391</v>
      </c>
      <c r="E107" s="40">
        <f t="shared" si="3"/>
        <v>366.5760914476391</v>
      </c>
      <c r="F107" s="35">
        <f>$J$9*(D107-D106)+($J$10*F106)</f>
        <v>0</v>
      </c>
      <c r="G107" s="35">
        <f>($J$14*(B107/E107))+($J$15*G106)</f>
        <v>1</v>
      </c>
    </row>
    <row r="108" spans="1:7" x14ac:dyDescent="0.2">
      <c r="A108" s="17">
        <v>25842</v>
      </c>
      <c r="B108" s="21">
        <v>452</v>
      </c>
      <c r="C108" s="7">
        <f>B107*$J$2 + (C107*$J$3)</f>
        <v>414.74565486858347</v>
      </c>
      <c r="D108" s="7">
        <f t="shared" si="2"/>
        <v>414.74565486858347</v>
      </c>
      <c r="E108" s="40">
        <f t="shared" si="3"/>
        <v>414.74565486858347</v>
      </c>
      <c r="F108" s="35">
        <f>$J$9*(D108-D107)+($J$10*F107)</f>
        <v>0</v>
      </c>
      <c r="G108" s="35">
        <f>($J$14*(B108/E108))+($J$15*G107)</f>
        <v>1</v>
      </c>
    </row>
    <row r="109" spans="1:7" x14ac:dyDescent="0.2">
      <c r="A109" s="17">
        <v>25873</v>
      </c>
      <c r="B109" s="21">
        <v>391</v>
      </c>
      <c r="C109" s="7">
        <f>B108*$J$2 + (C108*$J$3)</f>
        <v>429.64739292115007</v>
      </c>
      <c r="D109" s="7">
        <f t="shared" si="2"/>
        <v>429.64739292115007</v>
      </c>
      <c r="E109" s="40">
        <f t="shared" si="3"/>
        <v>429.64739292115007</v>
      </c>
      <c r="F109" s="35">
        <f>$J$9*(D109-D108)+($J$10*F108)</f>
        <v>0</v>
      </c>
      <c r="G109" s="35">
        <f>($J$14*(B109/E109))+($J$15*G108)</f>
        <v>1</v>
      </c>
    </row>
    <row r="110" spans="1:7" x14ac:dyDescent="0.2">
      <c r="A110" s="17">
        <v>25903</v>
      </c>
      <c r="B110" s="21">
        <v>500</v>
      </c>
      <c r="C110" s="7">
        <f>B109*$J$2 + (C109*$J$3)</f>
        <v>414.18843575269</v>
      </c>
      <c r="D110" s="7">
        <f t="shared" si="2"/>
        <v>414.18843575269</v>
      </c>
      <c r="E110" s="40">
        <f t="shared" si="3"/>
        <v>414.18843575269</v>
      </c>
      <c r="F110" s="35">
        <f>$J$9*(D110-D109)+($J$10*F109)</f>
        <v>0</v>
      </c>
      <c r="G110" s="35">
        <f>($J$14*(B110/E110))+($J$15*G109)</f>
        <v>1</v>
      </c>
    </row>
    <row r="111" spans="1:7" x14ac:dyDescent="0.2">
      <c r="A111" s="17">
        <v>25934</v>
      </c>
      <c r="B111" s="21">
        <v>451</v>
      </c>
      <c r="C111" s="7">
        <f>B110*$J$2 + (C110*$J$3)</f>
        <v>448.51306145161402</v>
      </c>
      <c r="D111" s="7">
        <f t="shared" si="2"/>
        <v>448.51306145161402</v>
      </c>
      <c r="E111" s="40">
        <f t="shared" si="3"/>
        <v>448.51306145161402</v>
      </c>
      <c r="F111" s="35">
        <f>$J$9*(D111-D110)+($J$10*F110)</f>
        <v>0</v>
      </c>
      <c r="G111" s="35">
        <f>($J$14*(B111/E111))+($J$15*G110)</f>
        <v>1</v>
      </c>
    </row>
    <row r="112" spans="1:7" x14ac:dyDescent="0.2">
      <c r="A112" s="17">
        <v>25965</v>
      </c>
      <c r="B112" s="21">
        <v>375</v>
      </c>
      <c r="C112" s="7">
        <f>B111*$J$2 + (C111*$J$3)</f>
        <v>449.50783687096839</v>
      </c>
      <c r="D112" s="7">
        <f t="shared" si="2"/>
        <v>449.50783687096839</v>
      </c>
      <c r="E112" s="40">
        <f t="shared" si="3"/>
        <v>449.50783687096839</v>
      </c>
      <c r="F112" s="35">
        <f>$J$9*(D112-D111)+($J$10*F111)</f>
        <v>0</v>
      </c>
      <c r="G112" s="35">
        <f>($J$14*(B112/E112))+($J$15*G111)</f>
        <v>1</v>
      </c>
    </row>
    <row r="113" spans="1:7" x14ac:dyDescent="0.2">
      <c r="A113" s="17">
        <v>25993</v>
      </c>
      <c r="B113" s="21">
        <v>372</v>
      </c>
      <c r="C113" s="7">
        <f>B112*$J$2 + (C112*$J$3)</f>
        <v>419.70470212258101</v>
      </c>
      <c r="D113" s="7">
        <f t="shared" si="2"/>
        <v>419.70470212258101</v>
      </c>
      <c r="E113" s="40">
        <f t="shared" si="3"/>
        <v>419.70470212258101</v>
      </c>
      <c r="F113" s="35">
        <f>$J$9*(D113-D112)+($J$10*F112)</f>
        <v>0</v>
      </c>
      <c r="G113" s="35">
        <f>($J$14*(B113/E113))+($J$15*G112)</f>
        <v>1</v>
      </c>
    </row>
    <row r="114" spans="1:7" x14ac:dyDescent="0.2">
      <c r="A114" s="17">
        <v>26024</v>
      </c>
      <c r="B114" s="21">
        <v>302</v>
      </c>
      <c r="C114" s="7">
        <f>B113*$J$2 + (C113*$J$3)</f>
        <v>400.6228212735486</v>
      </c>
      <c r="D114" s="7">
        <f t="shared" si="2"/>
        <v>400.6228212735486</v>
      </c>
      <c r="E114" s="40">
        <f t="shared" si="3"/>
        <v>400.6228212735486</v>
      </c>
      <c r="F114" s="35">
        <f>$J$9*(D114-D113)+($J$10*F113)</f>
        <v>0</v>
      </c>
      <c r="G114" s="35">
        <f>($J$14*(B114/E114))+($J$15*G113)</f>
        <v>1</v>
      </c>
    </row>
    <row r="115" spans="1:7" x14ac:dyDescent="0.2">
      <c r="A115" s="17">
        <v>26054</v>
      </c>
      <c r="B115" s="21">
        <v>316</v>
      </c>
      <c r="C115" s="7">
        <f>B114*$J$2 + (C114*$J$3)</f>
        <v>361.17369276412916</v>
      </c>
      <c r="D115" s="7">
        <f t="shared" si="2"/>
        <v>361.17369276412916</v>
      </c>
      <c r="E115" s="40">
        <f t="shared" si="3"/>
        <v>361.17369276412916</v>
      </c>
      <c r="F115" s="35">
        <f>$J$9*(D115-D114)+($J$10*F114)</f>
        <v>0</v>
      </c>
      <c r="G115" s="35">
        <f>($J$14*(B115/E115))+($J$15*G114)</f>
        <v>1</v>
      </c>
    </row>
    <row r="116" spans="1:7" x14ac:dyDescent="0.2">
      <c r="A116" s="17">
        <v>26085</v>
      </c>
      <c r="B116" s="21">
        <v>398</v>
      </c>
      <c r="C116" s="7">
        <f>B115*$J$2 + (C115*$J$3)</f>
        <v>343.10421565847753</v>
      </c>
      <c r="D116" s="7">
        <f t="shared" si="2"/>
        <v>343.10421565847753</v>
      </c>
      <c r="E116" s="40">
        <f t="shared" si="3"/>
        <v>343.10421565847753</v>
      </c>
      <c r="F116" s="35">
        <f>$J$9*(D116-D115)+($J$10*F115)</f>
        <v>0</v>
      </c>
      <c r="G116" s="35">
        <f>($J$14*(B116/E116))+($J$15*G115)</f>
        <v>1</v>
      </c>
    </row>
    <row r="117" spans="1:7" x14ac:dyDescent="0.2">
      <c r="A117" s="17">
        <v>26115</v>
      </c>
      <c r="B117" s="21">
        <v>394</v>
      </c>
      <c r="C117" s="7">
        <f>B116*$J$2 + (C116*$J$3)</f>
        <v>365.06252939508653</v>
      </c>
      <c r="D117" s="7">
        <f t="shared" si="2"/>
        <v>365.06252939508653</v>
      </c>
      <c r="E117" s="40">
        <f t="shared" si="3"/>
        <v>365.06252939508653</v>
      </c>
      <c r="F117" s="35">
        <f>$J$9*(D117-D116)+($J$10*F116)</f>
        <v>0</v>
      </c>
      <c r="G117" s="35">
        <f>($J$14*(B117/E117))+($J$15*G116)</f>
        <v>1</v>
      </c>
    </row>
    <row r="118" spans="1:7" x14ac:dyDescent="0.2">
      <c r="A118" s="17">
        <v>26146</v>
      </c>
      <c r="B118" s="21">
        <v>431</v>
      </c>
      <c r="C118" s="7">
        <f>B117*$J$2 + (C117*$J$3)</f>
        <v>376.63751763705193</v>
      </c>
      <c r="D118" s="7">
        <f t="shared" si="2"/>
        <v>376.63751763705193</v>
      </c>
      <c r="E118" s="40">
        <f t="shared" si="3"/>
        <v>376.63751763705193</v>
      </c>
      <c r="F118" s="35">
        <f>$J$9*(D118-D117)+($J$10*F117)</f>
        <v>0</v>
      </c>
      <c r="G118" s="35">
        <f>($J$14*(B118/E118))+($J$15*G117)</f>
        <v>1</v>
      </c>
    </row>
    <row r="119" spans="1:7" x14ac:dyDescent="0.2">
      <c r="A119" s="17">
        <v>26177</v>
      </c>
      <c r="B119" s="21">
        <v>431</v>
      </c>
      <c r="C119" s="7">
        <f>B118*$J$2 + (C118*$J$3)</f>
        <v>398.38251058223113</v>
      </c>
      <c r="D119" s="7">
        <f t="shared" si="2"/>
        <v>398.38251058223113</v>
      </c>
      <c r="E119" s="40">
        <f t="shared" si="3"/>
        <v>398.38251058223113</v>
      </c>
      <c r="F119" s="35">
        <f>$J$9*(D119-D118)+($J$10*F118)</f>
        <v>0</v>
      </c>
      <c r="G119" s="35">
        <f>($J$14*(B119/E119))+($J$15*G118)</f>
        <v>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simple moving average</vt:lpstr>
      <vt:lpstr>Weighted moving average</vt:lpstr>
      <vt:lpstr>exponential moving average</vt:lpstr>
      <vt:lpstr>differencing</vt:lpstr>
      <vt:lpstr>Holt Winters</vt:lpstr>
      <vt:lpstr>differencing!ArmedRobberyOneAtr</vt:lpstr>
      <vt:lpstr>'exponential moving average'!ArmedRobberyOneAtr</vt:lpstr>
      <vt:lpstr>'Holt Winters'!ArmedRobberyOneAtr</vt:lpstr>
      <vt:lpstr>'simple moving average'!ArmedRobberyOneAtr</vt:lpstr>
      <vt:lpstr>'Weighted moving average'!ArmedRobberyOneAtr</vt:lpstr>
    </vt:vector>
  </TitlesOfParts>
  <Company>ITB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Gray</dc:creator>
  <cp:lastModifiedBy>GGray</cp:lastModifiedBy>
  <dcterms:created xsi:type="dcterms:W3CDTF">2012-02-27T15:34:24Z</dcterms:created>
  <dcterms:modified xsi:type="dcterms:W3CDTF">2021-02-24T15:34:07Z</dcterms:modified>
</cp:coreProperties>
</file>